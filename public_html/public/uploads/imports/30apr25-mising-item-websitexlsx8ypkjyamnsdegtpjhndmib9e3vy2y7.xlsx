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21B91711-E73A-4238-9080-2329032E272D}" xr6:coauthVersionLast="47" xr6:coauthVersionMax="47" xr10:uidLastSave="{00000000-0000-0000-0000-000000000000}"/>
  <bookViews>
    <workbookView xWindow="-120" yWindow="-120" windowWidth="29040" windowHeight="15840" xr2:uid="{E111FC76-12CD-4873-8C80-C68295189DB8}"/>
  </bookViews>
  <sheets>
    <sheet name="Sheet1" sheetId="1" r:id="rId1"/>
  </sheets>
  <definedNames>
    <definedName name="_xlnm._FilterDatabase" localSheetId="0" hidden="1">Sheet1!$A$1:$AX$30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</calcChain>
</file>

<file path=xl/sharedStrings.xml><?xml version="1.0" encoding="utf-8"?>
<sst xmlns="http://schemas.openxmlformats.org/spreadsheetml/2006/main" count="479" uniqueCount="157">
  <si>
    <t>subcategory</t>
  </si>
  <si>
    <t>packaging_name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</si>
  <si>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</si>
  <si>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</si>
  <si>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</si>
  <si>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</si>
  <si>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</si>
  <si>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</si>
  <si>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</si>
  <si>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</si>
  <si>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</si>
  <si>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</si>
  <si>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</si>
  <si>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</si>
  <si>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</si>
  <si>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</si>
  <si>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</si>
  <si>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</si>
  <si>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</si>
  <si>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</si>
  <si>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</si>
  <si>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</si>
  <si>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</si>
  <si>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</si>
  <si>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</si>
  <si>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</si>
  <si>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</si>
  <si>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</si>
  <si>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</si>
  <si>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</si>
  <si>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</si>
  <si>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</si>
  <si>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</si>
  <si>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</si>
  <si>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</si>
  <si>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</si>
  <si>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</si>
  <si>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</si>
  <si>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</si>
  <si>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</si>
  <si>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</si>
  <si>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</si>
  <si>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</si>
  <si>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</si>
  <si>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</si>
  <si>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</si>
  <si>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</si>
  <si>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</si>
  <si>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</si>
  <si>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PTMT</t>
  </si>
  <si>
    <t>White-Blue-Dual</t>
  </si>
  <si>
    <t>15mm(1/2")</t>
  </si>
  <si>
    <t>Active</t>
  </si>
  <si>
    <t>White</t>
  </si>
  <si>
    <t>Bib Cock With Flange</t>
  </si>
  <si>
    <t>Metallic-Grey-Black-Dual</t>
  </si>
  <si>
    <t>-</t>
  </si>
  <si>
    <t>Health Faucet</t>
  </si>
  <si>
    <t>Charvi Collection</t>
  </si>
  <si>
    <t>Solitaire Pro</t>
  </si>
  <si>
    <t>Rose Pro</t>
  </si>
  <si>
    <t>Malia Collection</t>
  </si>
  <si>
    <t>Avery Collection</t>
  </si>
  <si>
    <t>Asperion Collection</t>
  </si>
  <si>
    <t>Asher Collection</t>
  </si>
  <si>
    <t>Amara Collection</t>
  </si>
  <si>
    <t>Connection Pipe</t>
  </si>
  <si>
    <t>Solitaire Collection</t>
  </si>
  <si>
    <t>Crystal Series</t>
  </si>
  <si>
    <t>Towel Dispenser</t>
  </si>
  <si>
    <t>RN Ptmt Health Faucet Set With 1.25mtr Shower Hose &amp; holder</t>
  </si>
  <si>
    <t>Bib cock with flange</t>
  </si>
  <si>
    <t>Ptmt connection Pipe  (For Cold Water Only) - 48"</t>
  </si>
  <si>
    <t>Ptmt connection Pipe  (For Cold Water Only) - 36"</t>
  </si>
  <si>
    <t>Ptmt connection Pipe  (For Cold Water Only) - 30"</t>
  </si>
  <si>
    <t>Ptmt connection Pipe  (For Cold Water Only) - 24"</t>
  </si>
  <si>
    <t>Ptmt connection Pipe  (For Cold Water Only) - 18"</t>
  </si>
  <si>
    <t>RN Paper Towel Dispenser</t>
  </si>
  <si>
    <t>RN Single Lever Wall Mixer</t>
  </si>
  <si>
    <t>RN Single Lever Mixer</t>
  </si>
  <si>
    <t>BRASS</t>
  </si>
  <si>
    <t>PVC</t>
  </si>
  <si>
    <t>PLASTIC</t>
  </si>
  <si>
    <t>Black</t>
  </si>
  <si>
    <t>Chrome Plated</t>
  </si>
  <si>
    <t>Black-Chrome-Dual</t>
  </si>
  <si>
    <t>Rose-Gold-Chrome-Dual</t>
  </si>
  <si>
    <t>RNHFS09B09</t>
  </si>
  <si>
    <t>RNHFF28N28</t>
  </si>
  <si>
    <t>RNHFF09B09</t>
  </si>
  <si>
    <t>RNHFS19A01</t>
  </si>
  <si>
    <t>RNCHA24G13</t>
  </si>
  <si>
    <t>RNSOP24G13</t>
  </si>
  <si>
    <t>RNROP24G13</t>
  </si>
  <si>
    <t>RNMAL24G13</t>
  </si>
  <si>
    <t>RNAVE24G13</t>
  </si>
  <si>
    <t>RNASP24G13</t>
  </si>
  <si>
    <t>RNASH24G13</t>
  </si>
  <si>
    <t>RNAMA26G13</t>
  </si>
  <si>
    <t>RNAMA25G13</t>
  </si>
  <si>
    <t>RNAMA24G13</t>
  </si>
  <si>
    <t>RNSOL24G02</t>
  </si>
  <si>
    <t>0131L</t>
  </si>
  <si>
    <t>RN63560148</t>
  </si>
  <si>
    <t>RN63560136</t>
  </si>
  <si>
    <t>RN63560130</t>
  </si>
  <si>
    <t>RN63560124</t>
  </si>
  <si>
    <t>RN63560118</t>
  </si>
  <si>
    <t>RNPTD02003</t>
  </si>
  <si>
    <t>RNSL047115</t>
  </si>
  <si>
    <t>RNSL071115</t>
  </si>
  <si>
    <t>RNSL070115</t>
  </si>
  <si>
    <t>RNSL069115</t>
  </si>
  <si>
    <t>RNSL056115</t>
  </si>
  <si>
    <t>RNSL052115</t>
  </si>
  <si>
    <t>RNSL055115</t>
  </si>
  <si>
    <t>RNSL131L15</t>
  </si>
  <si>
    <t>48"</t>
  </si>
  <si>
    <t>36"</t>
  </si>
  <si>
    <t>30"</t>
  </si>
  <si>
    <t>24"</t>
  </si>
  <si>
    <t>18"</t>
  </si>
  <si>
    <t>ptmt</t>
  </si>
  <si>
    <t>Brass</t>
  </si>
  <si>
    <t>Import</t>
  </si>
  <si>
    <t>https://rnvalves.media/Catalogue/RN/health-hygiene/health-faucet/RNHFS09B09.png</t>
  </si>
  <si>
    <t>https://rnvalves.media/Catalogue/RN/health-hygiene/health-faucet/RNHFF09B09.png</t>
  </si>
  <si>
    <t>https://rnvalves.media/Catalogue/RN/health-hygiene/health-faucet/RNHFF28N28.png</t>
  </si>
  <si>
    <t>https://rnvalves.media/Catalogue/RN/health-hygiene/health-faucet/RNHFS19A01.png</t>
  </si>
  <si>
    <t>https://rnvalves.media/Catalogue/RN/cp-faucet/RNCHA24G13.png</t>
  </si>
  <si>
    <t>https://rnvalves.media/Catalogue/RN/cp-faucet/RNSOP24G13.png</t>
  </si>
  <si>
    <t>https://rnvalves.media/Catalogue/RN/cp-faucet/RNROP24G13.png</t>
  </si>
  <si>
    <t>https://rnvalves.media/Catalogue/RN/cp-faucet/RNMAL24G13.png</t>
  </si>
  <si>
    <t>https://rnvalves.media/Catalogue/RN/cp-faucet/RNAVE24G13.png</t>
  </si>
  <si>
    <t>https://rnvalves.media/Catalogue/RN/cp-faucet/RNASP24G13.png</t>
  </si>
  <si>
    <t>https://rnvalves.media/Catalogue/RN/cp-faucet/RNASH24G13.png</t>
  </si>
  <si>
    <t>https://rnvalves.media/Catalogue/RN/cp-faucet/RNAMA26G13.png</t>
  </si>
  <si>
    <t>https://rnvalves.media/Catalogue/RN/cp-faucet/RNAMA25G13.png</t>
  </si>
  <si>
    <t>https://rnvalves.media/Catalogue/RN/cp-faucet/RNAMA24G13.png</t>
  </si>
  <si>
    <t>https://rnvalves.media/Catalogue/RN/cp-faucet/RNSOL24G02.png</t>
  </si>
  <si>
    <t>https://rnvalves.media/Catalogue/RN/Hoses-Connection/Connection-pipe/6356.png</t>
  </si>
  <si>
    <t>https://rnvalves.media/Catalogue/RN/health-hygiene/towel-despenser/2003.png</t>
  </si>
  <si>
    <t>https://rnvalves.media/Catalogue/RN/Single-Lever-Mixer/Crystal-Series/0471.png</t>
  </si>
  <si>
    <t>https://rnvalves.media/Catalogue/RN/Single-Lever-Mixer/Crystal-Series/0711.png</t>
  </si>
  <si>
    <t>https://rnvalves.media/Catalogue/RN/Single-Lever-Mixer/Crystal-Series/0701.png</t>
  </si>
  <si>
    <t>https://rnvalves.media/Catalogue/RN/Single-Lever-Mixer/Crystal-Series/0691.png</t>
  </si>
  <si>
    <t>https://rnvalves.media/Catalogue/RN/Single-Lever-Mixer/Crystal-Series/0561.png</t>
  </si>
  <si>
    <t>https://rnvalves.media/Catalogue/RN/Single-Lever-Mixer/Crystal-Series/0521.png</t>
  </si>
  <si>
    <t>https://rnvalves.media/Catalogue/RN/Single-Lever-Mixer/Crystal-Series/0551.png</t>
  </si>
  <si>
    <t>https://rnvalves.media/Catalogue/RN/Single-Lever-Mixer/Crystal-Series/0131L.png</t>
  </si>
  <si>
    <t>0471</t>
  </si>
  <si>
    <t>0711</t>
  </si>
  <si>
    <t>0701</t>
  </si>
  <si>
    <t>0691</t>
  </si>
  <si>
    <t>0561</t>
  </si>
  <si>
    <t>0521</t>
  </si>
  <si>
    <t>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</si>
</sst>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1" applyBorder="1"/>
    <xf numFmtId="0" fontId="0" fillId="0" borderId="1" xfId="0" quotePrefix="1" applyBorder="1"/>
    <xf numFmtId="0" fontId="4" fillId="3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Catalogue/RN/cp-faucet/RNAVE24G13.png" TargetMode="External"/><Relationship Id="rId13" Type="http://schemas.openxmlformats.org/officeDocument/2006/relationships/hyperlink" Target="https://rnvalves.media/Catalogue/RN/cp-faucet/RNAMA24G13.png" TargetMode="External"/><Relationship Id="rId18" Type="http://schemas.openxmlformats.org/officeDocument/2006/relationships/hyperlink" Target="https://rnvalves.media/Catalogue/RN/Single-Lever-Mixer/Crystal-Series/0561.png" TargetMode="External"/><Relationship Id="rId3" Type="http://schemas.openxmlformats.org/officeDocument/2006/relationships/hyperlink" Target="https://rnvalves.media/Catalogue/RN/health-hygiene/health-faucet/RNHFF09B09.png" TargetMode="External"/><Relationship Id="rId21" Type="http://schemas.openxmlformats.org/officeDocument/2006/relationships/hyperlink" Target="https://rnvalves.media/Catalogue/RN/Single-Lever-Mixer/Crystal-Series/0131L.png" TargetMode="External"/><Relationship Id="rId7" Type="http://schemas.openxmlformats.org/officeDocument/2006/relationships/hyperlink" Target="https://rnvalves.media/Catalogue/RN/cp-faucet/RNMAL24G13.png" TargetMode="External"/><Relationship Id="rId12" Type="http://schemas.openxmlformats.org/officeDocument/2006/relationships/hyperlink" Target="https://rnvalves.media/Catalogue/RN/cp-faucet/RNAMA25G13.png" TargetMode="External"/><Relationship Id="rId17" Type="http://schemas.openxmlformats.org/officeDocument/2006/relationships/hyperlink" Target="https://rnvalves.media/Catalogue/RN/Single-Lever-Mixer/Crystal-Series/0691.png" TargetMode="External"/><Relationship Id="rId2" Type="http://schemas.openxmlformats.org/officeDocument/2006/relationships/hyperlink" Target="https://rnvalves.media/Catalogue/RN/health-hygiene/health-faucet/RNHFF28N28.png" TargetMode="External"/><Relationship Id="rId16" Type="http://schemas.openxmlformats.org/officeDocument/2006/relationships/hyperlink" Target="https://rnvalves.media/Catalogue/RN/Single-Lever-Mixer/Crystal-Series/0701.png" TargetMode="External"/><Relationship Id="rId20" Type="http://schemas.openxmlformats.org/officeDocument/2006/relationships/hyperlink" Target="https://rnvalves.media/Catalogue/RN/Single-Lever-Mixer/Crystal-Series/0551.png" TargetMode="External"/><Relationship Id="rId1" Type="http://schemas.openxmlformats.org/officeDocument/2006/relationships/hyperlink" Target="https://rnvalves.media/Catalogue/RN/health-hygiene/health-faucet/RNHFS09B09.png" TargetMode="External"/><Relationship Id="rId6" Type="http://schemas.openxmlformats.org/officeDocument/2006/relationships/hyperlink" Target="https://rnvalves.media/Catalogue/RN/cp-faucet/RNROP24G13.png" TargetMode="External"/><Relationship Id="rId11" Type="http://schemas.openxmlformats.org/officeDocument/2006/relationships/hyperlink" Target="https://rnvalves.media/Catalogue/RN/cp-faucet/RNAMA26G13.png" TargetMode="External"/><Relationship Id="rId5" Type="http://schemas.openxmlformats.org/officeDocument/2006/relationships/hyperlink" Target="https://rnvalves.media/Catalogue/RN/cp-faucet/RNSOP24G13.png" TargetMode="External"/><Relationship Id="rId15" Type="http://schemas.openxmlformats.org/officeDocument/2006/relationships/hyperlink" Target="https://rnvalves.media/Catalogue/RN/Single-Lever-Mixer/Crystal-Series/0711.png" TargetMode="External"/><Relationship Id="rId10" Type="http://schemas.openxmlformats.org/officeDocument/2006/relationships/hyperlink" Target="https://rnvalves.media/Catalogue/RN/cp-faucet/RNASH24G13.png" TargetMode="External"/><Relationship Id="rId19" Type="http://schemas.openxmlformats.org/officeDocument/2006/relationships/hyperlink" Target="https://rnvalves.media/Catalogue/RN/Single-Lever-Mixer/Crystal-Series/0521.png" TargetMode="External"/><Relationship Id="rId4" Type="http://schemas.openxmlformats.org/officeDocument/2006/relationships/hyperlink" Target="https://rnvalves.media/Catalogue/RN/health-hygiene/health-faucet/RNHFS19A01.png" TargetMode="External"/><Relationship Id="rId9" Type="http://schemas.openxmlformats.org/officeDocument/2006/relationships/hyperlink" Target="https://rnvalves.media/Catalogue/RN/cp-faucet/RNASP24G13.png" TargetMode="External"/><Relationship Id="rId14" Type="http://schemas.openxmlformats.org/officeDocument/2006/relationships/hyperlink" Target="https://rnvalves.media/Catalogue/RN/cp-faucet/RNSOL24G0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8173-F4A1-4068-9391-A7628008479E}">
  <dimension ref="A1:AX76"/>
  <sheetViews>
    <sheetView tabSelected="1" topLeftCell="H1" workbookViewId="0">
      <selection activeCell="S2" sqref="S2"/>
    </sheetView>
  </sheetViews>
  <sheetFormatPr defaultRowHeight="15" x14ac:dyDescent="0.25"/>
  <cols>
    <col min="1" max="1" width="18.85546875" bestFit="1" customWidth="1"/>
    <col min="2" max="2" width="33.42578125" bestFit="1" customWidth="1"/>
    <col min="3" max="3" width="102.28515625" bestFit="1" customWidth="1"/>
    <col min="4" max="5" width="13.28515625" bestFit="1" customWidth="1"/>
    <col min="6" max="6" width="57.7109375" bestFit="1" customWidth="1"/>
    <col min="7" max="7" width="14.42578125" bestFit="1" customWidth="1"/>
    <col min="8" max="8" width="9.42578125" bestFit="1" customWidth="1"/>
    <col min="9" max="9" width="12" bestFit="1" customWidth="1"/>
    <col min="10" max="10" width="23.42578125" bestFit="1" customWidth="1"/>
    <col min="11" max="11" width="18.7109375" bestFit="1" customWidth="1"/>
    <col min="12" max="12" width="22.7109375" bestFit="1" customWidth="1"/>
    <col min="13" max="13" width="19.5703125" bestFit="1" customWidth="1"/>
    <col min="14" max="14" width="11.5703125" bestFit="1" customWidth="1"/>
    <col min="15" max="15" width="9" bestFit="1" customWidth="1"/>
    <col min="16" max="16" width="10.7109375" bestFit="1" customWidth="1"/>
    <col min="17" max="17" width="13" bestFit="1" customWidth="1"/>
    <col min="18" max="18" width="14.28515625" bestFit="1" customWidth="1"/>
    <col min="19" max="19" width="12.28515625" bestFit="1" customWidth="1"/>
    <col min="20" max="20" width="14.5703125" bestFit="1" customWidth="1"/>
    <col min="21" max="21" width="16" bestFit="1" customWidth="1"/>
    <col min="22" max="25" width="57.7109375" bestFit="1" customWidth="1"/>
    <col min="26" max="26" width="9.7109375" bestFit="1" customWidth="1"/>
    <col min="27" max="27" width="22.28515625" bestFit="1" customWidth="1"/>
    <col min="28" max="28" width="15.42578125" bestFit="1" customWidth="1"/>
    <col min="29" max="29" width="17" bestFit="1" customWidth="1"/>
    <col min="30" max="30" width="15" bestFit="1" customWidth="1"/>
    <col min="31" max="31" width="13.28515625" bestFit="1" customWidth="1"/>
    <col min="32" max="32" width="11.140625" bestFit="1" customWidth="1"/>
    <col min="33" max="33" width="16.28515625" bestFit="1" customWidth="1"/>
    <col min="34" max="35" width="13.28515625" bestFit="1" customWidth="1"/>
    <col min="36" max="36" width="25.42578125" bestFit="1" customWidth="1"/>
    <col min="37" max="37" width="19.140625" bestFit="1" customWidth="1"/>
    <col min="38" max="38" width="20.85546875" bestFit="1" customWidth="1"/>
    <col min="39" max="39" width="19.140625" bestFit="1" customWidth="1"/>
    <col min="40" max="40" width="28.7109375" bestFit="1" customWidth="1"/>
    <col min="41" max="41" width="28.140625" bestFit="1" customWidth="1"/>
    <col min="42" max="42" width="31.42578125" bestFit="1" customWidth="1"/>
    <col min="43" max="43" width="25" bestFit="1" customWidth="1"/>
    <col min="44" max="44" width="26" bestFit="1" customWidth="1"/>
    <col min="45" max="45" width="16.28515625" bestFit="1" customWidth="1"/>
    <col min="46" max="46" width="15.42578125" bestFit="1" customWidth="1"/>
    <col min="47" max="47" width="21.5703125" bestFit="1" customWidth="1"/>
    <col min="48" max="48" width="13" bestFit="1" customWidth="1"/>
    <col min="49" max="49" width="21.5703125" bestFit="1" customWidth="1"/>
    <col min="50" max="50" width="13" bestFit="1" customWidth="1"/>
  </cols>
  <sheetData>
    <row r="1" spans="1:50" ht="17.25" x14ac:dyDescent="0.3">
      <c r="A1" s="1" t="s">
        <v>0</v>
      </c>
      <c r="B1" s="1" t="s">
        <v>1</v>
      </c>
      <c r="C1" s="1" t="s">
        <v>14</v>
      </c>
      <c r="D1" s="1" t="s">
        <v>10</v>
      </c>
      <c r="E1" s="1" t="s">
        <v>11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46</v>
      </c>
      <c r="AX1" s="1" t="s">
        <v>47</v>
      </c>
    </row>
    <row r="2" spans="1:50" x14ac:dyDescent="0.25">
      <c r="A2" s="2" t="s">
        <v>57</v>
      </c>
      <c r="B2" s="2"/>
      <c r="C2" s="4" t="s">
        <v>125</v>
      </c>
      <c r="D2" s="2" t="s">
        <v>87</v>
      </c>
      <c r="E2" s="2" t="s">
        <v>87</v>
      </c>
      <c r="F2" s="2" t="s">
        <v>70</v>
      </c>
      <c r="G2" s="3"/>
      <c r="H2" s="3" t="s">
        <v>48</v>
      </c>
      <c r="I2" s="3" t="s">
        <v>49</v>
      </c>
      <c r="J2" s="2" t="s">
        <v>55</v>
      </c>
      <c r="K2" s="2" t="str">
        <f>MID(E2,3,2)&amp;"AE00"&amp;RIGHT(E2,2)</f>
        <v>HFAE0009</v>
      </c>
      <c r="L2" s="2"/>
      <c r="M2" s="2"/>
      <c r="N2" s="2" t="s">
        <v>51</v>
      </c>
      <c r="O2" s="2">
        <v>84818090</v>
      </c>
      <c r="P2" s="2">
        <v>412</v>
      </c>
      <c r="Q2" s="2">
        <v>412</v>
      </c>
      <c r="R2" s="2">
        <v>824</v>
      </c>
      <c r="S2" s="2">
        <v>412</v>
      </c>
      <c r="T2" s="2">
        <v>412</v>
      </c>
      <c r="U2" s="2">
        <v>412</v>
      </c>
      <c r="V2" s="2" t="s">
        <v>70</v>
      </c>
      <c r="W2" s="2" t="s">
        <v>70</v>
      </c>
      <c r="X2" s="2" t="s">
        <v>70</v>
      </c>
      <c r="Y2" s="2" t="s">
        <v>70</v>
      </c>
      <c r="Z2" s="2" t="s">
        <v>52</v>
      </c>
      <c r="AA2" s="3">
        <v>1</v>
      </c>
      <c r="AB2" s="3">
        <v>0</v>
      </c>
      <c r="AC2" s="3">
        <v>1</v>
      </c>
      <c r="AD2" s="3">
        <v>0</v>
      </c>
      <c r="AE2" s="3" t="s">
        <v>122</v>
      </c>
      <c r="AF2" s="2">
        <v>1</v>
      </c>
      <c r="AG2" s="2">
        <v>0</v>
      </c>
      <c r="AH2" s="2">
        <v>0</v>
      </c>
      <c r="AI2" s="3">
        <v>2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2</v>
      </c>
      <c r="AR2" s="2">
        <v>1</v>
      </c>
      <c r="AS2" s="2"/>
      <c r="AT2" s="2"/>
      <c r="AU2" s="2"/>
      <c r="AV2" s="2"/>
      <c r="AW2" s="2"/>
      <c r="AX2" s="2"/>
    </row>
    <row r="3" spans="1:50" x14ac:dyDescent="0.25">
      <c r="A3" s="2" t="s">
        <v>57</v>
      </c>
      <c r="B3" s="2"/>
      <c r="C3" s="4" t="s">
        <v>127</v>
      </c>
      <c r="D3" s="2" t="s">
        <v>88</v>
      </c>
      <c r="E3" s="2" t="s">
        <v>88</v>
      </c>
      <c r="F3" s="2" t="s">
        <v>70</v>
      </c>
      <c r="G3" s="3"/>
      <c r="H3" s="3" t="s">
        <v>48</v>
      </c>
      <c r="I3" s="3" t="s">
        <v>49</v>
      </c>
      <c r="J3" s="2" t="s">
        <v>83</v>
      </c>
      <c r="K3" s="2" t="str">
        <f>MID(E3,3,2)&amp;"AE00"&amp;RIGHT(E3,2)</f>
        <v>HFAE0028</v>
      </c>
      <c r="L3" s="2"/>
      <c r="M3" s="2"/>
      <c r="N3" s="2" t="s">
        <v>51</v>
      </c>
      <c r="O3" s="2">
        <v>84818090</v>
      </c>
      <c r="P3" s="2">
        <v>402</v>
      </c>
      <c r="Q3" s="2">
        <v>402</v>
      </c>
      <c r="R3" s="2">
        <v>804</v>
      </c>
      <c r="S3" s="2">
        <v>402</v>
      </c>
      <c r="T3" s="2">
        <v>402</v>
      </c>
      <c r="U3" s="2">
        <v>402</v>
      </c>
      <c r="V3" s="2" t="s">
        <v>70</v>
      </c>
      <c r="W3" s="2" t="s">
        <v>70</v>
      </c>
      <c r="X3" s="2" t="s">
        <v>70</v>
      </c>
      <c r="Y3" s="2" t="s">
        <v>70</v>
      </c>
      <c r="Z3" s="2" t="s">
        <v>52</v>
      </c>
      <c r="AA3" s="3">
        <v>1</v>
      </c>
      <c r="AB3" s="3">
        <v>0</v>
      </c>
      <c r="AC3" s="3">
        <v>1</v>
      </c>
      <c r="AD3" s="3">
        <v>0</v>
      </c>
      <c r="AE3" s="3" t="s">
        <v>122</v>
      </c>
      <c r="AF3" s="2">
        <v>1</v>
      </c>
      <c r="AG3" s="2">
        <v>0</v>
      </c>
      <c r="AH3" s="2">
        <v>0</v>
      </c>
      <c r="AI3" s="3">
        <v>2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2</v>
      </c>
      <c r="AR3" s="2">
        <v>1</v>
      </c>
      <c r="AS3" s="2"/>
      <c r="AT3" s="2"/>
      <c r="AU3" s="2"/>
      <c r="AV3" s="2"/>
      <c r="AW3" s="2"/>
      <c r="AX3" s="2"/>
    </row>
    <row r="4" spans="1:50" x14ac:dyDescent="0.25">
      <c r="A4" s="2" t="s">
        <v>57</v>
      </c>
      <c r="B4" s="2"/>
      <c r="C4" s="4" t="s">
        <v>126</v>
      </c>
      <c r="D4" s="2" t="s">
        <v>89</v>
      </c>
      <c r="E4" s="2" t="s">
        <v>89</v>
      </c>
      <c r="F4" s="2" t="s">
        <v>70</v>
      </c>
      <c r="G4" s="3"/>
      <c r="H4" s="3" t="s">
        <v>48</v>
      </c>
      <c r="I4" s="3" t="s">
        <v>49</v>
      </c>
      <c r="J4" s="2" t="s">
        <v>55</v>
      </c>
      <c r="K4" s="2" t="str">
        <f>MID(E4,3,2)&amp;"AE00"&amp;RIGHT(E4,2)</f>
        <v>HFAE0009</v>
      </c>
      <c r="L4" s="2"/>
      <c r="M4" s="2"/>
      <c r="N4" s="2" t="s">
        <v>51</v>
      </c>
      <c r="O4" s="2">
        <v>84818090</v>
      </c>
      <c r="P4" s="2">
        <v>402</v>
      </c>
      <c r="Q4" s="2">
        <v>402</v>
      </c>
      <c r="R4" s="2">
        <v>804</v>
      </c>
      <c r="S4" s="2">
        <v>402</v>
      </c>
      <c r="T4" s="2">
        <v>402</v>
      </c>
      <c r="U4" s="2">
        <v>402</v>
      </c>
      <c r="V4" s="2" t="s">
        <v>70</v>
      </c>
      <c r="W4" s="2" t="s">
        <v>70</v>
      </c>
      <c r="X4" s="2" t="s">
        <v>70</v>
      </c>
      <c r="Y4" s="2" t="s">
        <v>70</v>
      </c>
      <c r="Z4" s="2" t="s">
        <v>52</v>
      </c>
      <c r="AA4" s="3">
        <v>1</v>
      </c>
      <c r="AB4" s="3">
        <v>0</v>
      </c>
      <c r="AC4" s="3">
        <v>1</v>
      </c>
      <c r="AD4" s="3">
        <v>0</v>
      </c>
      <c r="AE4" s="3" t="s">
        <v>122</v>
      </c>
      <c r="AF4" s="2">
        <v>1</v>
      </c>
      <c r="AG4" s="2">
        <v>0</v>
      </c>
      <c r="AH4" s="2">
        <v>0</v>
      </c>
      <c r="AI4" s="3">
        <v>2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2</v>
      </c>
      <c r="AR4" s="2">
        <v>1</v>
      </c>
      <c r="AS4" s="2"/>
      <c r="AT4" s="2"/>
      <c r="AU4" s="2"/>
      <c r="AV4" s="2"/>
      <c r="AW4" s="2"/>
      <c r="AX4" s="2"/>
    </row>
    <row r="5" spans="1:50" x14ac:dyDescent="0.25">
      <c r="A5" s="2" t="s">
        <v>57</v>
      </c>
      <c r="B5" s="2"/>
      <c r="C5" s="4" t="s">
        <v>128</v>
      </c>
      <c r="D5" s="2" t="s">
        <v>90</v>
      </c>
      <c r="E5" s="2" t="s">
        <v>90</v>
      </c>
      <c r="F5" s="2" t="s">
        <v>70</v>
      </c>
      <c r="G5" s="3"/>
      <c r="H5" s="3" t="s">
        <v>48</v>
      </c>
      <c r="I5" s="3" t="s">
        <v>49</v>
      </c>
      <c r="J5" s="2" t="s">
        <v>50</v>
      </c>
      <c r="K5" s="2" t="str">
        <f>MID(E5,3,2)&amp;"AE00"&amp;RIGHT(E5,2)</f>
        <v>HFAE0001</v>
      </c>
      <c r="L5" s="2"/>
      <c r="M5" s="2"/>
      <c r="N5" s="2" t="s">
        <v>51</v>
      </c>
      <c r="O5" s="2">
        <v>84818090</v>
      </c>
      <c r="P5" s="2">
        <v>404</v>
      </c>
      <c r="Q5" s="2">
        <v>404</v>
      </c>
      <c r="R5" s="2">
        <v>808</v>
      </c>
      <c r="S5" s="2">
        <v>404</v>
      </c>
      <c r="T5" s="2">
        <v>404</v>
      </c>
      <c r="U5" s="2">
        <v>404</v>
      </c>
      <c r="V5" s="2" t="s">
        <v>70</v>
      </c>
      <c r="W5" s="2" t="s">
        <v>70</v>
      </c>
      <c r="X5" s="2" t="s">
        <v>70</v>
      </c>
      <c r="Y5" s="2" t="s">
        <v>70</v>
      </c>
      <c r="Z5" s="2" t="s">
        <v>52</v>
      </c>
      <c r="AA5" s="3">
        <v>1</v>
      </c>
      <c r="AB5" s="3">
        <v>0</v>
      </c>
      <c r="AC5" s="3">
        <v>1</v>
      </c>
      <c r="AD5" s="3">
        <v>0</v>
      </c>
      <c r="AE5" s="3" t="s">
        <v>122</v>
      </c>
      <c r="AF5" s="2">
        <v>1</v>
      </c>
      <c r="AG5" s="2">
        <v>0</v>
      </c>
      <c r="AH5" s="2">
        <v>0</v>
      </c>
      <c r="AI5" s="3">
        <v>2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</v>
      </c>
      <c r="AR5" s="2">
        <v>1</v>
      </c>
      <c r="AS5" s="2"/>
      <c r="AT5" s="2"/>
      <c r="AU5" s="2"/>
      <c r="AV5" s="2"/>
      <c r="AW5" s="2"/>
      <c r="AX5" s="2"/>
    </row>
    <row r="6" spans="1:50" x14ac:dyDescent="0.25">
      <c r="A6" s="2" t="s">
        <v>58</v>
      </c>
      <c r="B6" s="2"/>
      <c r="C6" s="2" t="s">
        <v>129</v>
      </c>
      <c r="D6" s="2" t="s">
        <v>91</v>
      </c>
      <c r="E6" s="2" t="s">
        <v>91</v>
      </c>
      <c r="F6" s="2" t="s">
        <v>71</v>
      </c>
      <c r="G6" s="3">
        <v>2</v>
      </c>
      <c r="H6" s="3" t="s">
        <v>48</v>
      </c>
      <c r="I6" s="3" t="s">
        <v>80</v>
      </c>
      <c r="J6" s="2" t="s">
        <v>84</v>
      </c>
      <c r="K6" s="2" t="str">
        <f>MID(E6,3,2)&amp;"AE00"&amp;RIGHT(E6,2)</f>
        <v>CHAE0013</v>
      </c>
      <c r="L6" s="2"/>
      <c r="M6" s="2"/>
      <c r="N6" s="2" t="s">
        <v>51</v>
      </c>
      <c r="O6" s="2">
        <v>84818090</v>
      </c>
      <c r="P6" s="2">
        <v>820</v>
      </c>
      <c r="Q6" s="2">
        <v>820</v>
      </c>
      <c r="R6" s="2">
        <v>1640</v>
      </c>
      <c r="S6" s="2">
        <v>820</v>
      </c>
      <c r="T6" s="2">
        <v>820</v>
      </c>
      <c r="U6" s="2">
        <v>820</v>
      </c>
      <c r="V6" s="2" t="s">
        <v>71</v>
      </c>
      <c r="W6" s="2" t="s">
        <v>71</v>
      </c>
      <c r="X6" s="2" t="s">
        <v>71</v>
      </c>
      <c r="Y6" s="2" t="s">
        <v>71</v>
      </c>
      <c r="Z6" s="2" t="s">
        <v>52</v>
      </c>
      <c r="AA6" s="3">
        <v>1</v>
      </c>
      <c r="AB6" s="3">
        <v>0</v>
      </c>
      <c r="AC6" s="3">
        <v>1</v>
      </c>
      <c r="AD6" s="3">
        <v>0</v>
      </c>
      <c r="AE6" s="3" t="s">
        <v>123</v>
      </c>
      <c r="AF6" s="2">
        <v>1</v>
      </c>
      <c r="AG6" s="2">
        <v>0</v>
      </c>
      <c r="AH6" s="2">
        <v>0</v>
      </c>
      <c r="AI6" s="3">
        <v>2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10</v>
      </c>
      <c r="AR6" s="2">
        <v>0</v>
      </c>
      <c r="AS6" s="2"/>
      <c r="AT6" s="2"/>
      <c r="AU6" s="2"/>
      <c r="AV6" s="2"/>
      <c r="AW6" s="2"/>
      <c r="AX6" s="2"/>
    </row>
    <row r="7" spans="1:50" x14ac:dyDescent="0.25">
      <c r="A7" s="2" t="s">
        <v>59</v>
      </c>
      <c r="B7" s="2"/>
      <c r="C7" s="4" t="s">
        <v>130</v>
      </c>
      <c r="D7" s="2" t="s">
        <v>92</v>
      </c>
      <c r="E7" s="2" t="s">
        <v>92</v>
      </c>
      <c r="F7" s="2" t="s">
        <v>71</v>
      </c>
      <c r="G7" s="3">
        <v>2</v>
      </c>
      <c r="H7" s="3" t="s">
        <v>48</v>
      </c>
      <c r="I7" s="3" t="s">
        <v>80</v>
      </c>
      <c r="J7" s="2" t="s">
        <v>84</v>
      </c>
      <c r="K7" s="2" t="str">
        <f>MID(E7,3,2)&amp;"AE00"&amp;RIGHT(E7,2)</f>
        <v>SOAE0013</v>
      </c>
      <c r="L7" s="2"/>
      <c r="M7" s="2"/>
      <c r="N7" s="2" t="s">
        <v>51</v>
      </c>
      <c r="O7" s="2">
        <v>84818090</v>
      </c>
      <c r="P7" s="2">
        <v>898</v>
      </c>
      <c r="Q7" s="2">
        <v>898</v>
      </c>
      <c r="R7" s="2">
        <v>1796</v>
      </c>
      <c r="S7" s="2">
        <v>898</v>
      </c>
      <c r="T7" s="2">
        <v>898</v>
      </c>
      <c r="U7" s="2">
        <v>898</v>
      </c>
      <c r="V7" s="2" t="s">
        <v>71</v>
      </c>
      <c r="W7" s="2" t="s">
        <v>71</v>
      </c>
      <c r="X7" s="2" t="s">
        <v>71</v>
      </c>
      <c r="Y7" s="2" t="s">
        <v>71</v>
      </c>
      <c r="Z7" s="2" t="s">
        <v>52</v>
      </c>
      <c r="AA7" s="3">
        <v>1</v>
      </c>
      <c r="AB7" s="3">
        <v>0</v>
      </c>
      <c r="AC7" s="3">
        <v>1</v>
      </c>
      <c r="AD7" s="3">
        <v>0</v>
      </c>
      <c r="AE7" s="3" t="s">
        <v>123</v>
      </c>
      <c r="AF7" s="2">
        <v>1</v>
      </c>
      <c r="AG7" s="2">
        <v>0</v>
      </c>
      <c r="AH7" s="2">
        <v>0</v>
      </c>
      <c r="AI7" s="3">
        <v>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10</v>
      </c>
      <c r="AR7" s="2">
        <v>0</v>
      </c>
      <c r="AS7" s="2"/>
      <c r="AT7" s="2"/>
      <c r="AU7" s="2"/>
      <c r="AV7" s="2"/>
      <c r="AW7" s="2"/>
      <c r="AX7" s="2"/>
    </row>
    <row r="8" spans="1:50" x14ac:dyDescent="0.25">
      <c r="A8" s="2" t="s">
        <v>60</v>
      </c>
      <c r="B8" s="2"/>
      <c r="C8" s="4" t="s">
        <v>131</v>
      </c>
      <c r="D8" s="2" t="s">
        <v>93</v>
      </c>
      <c r="E8" s="2" t="s">
        <v>93</v>
      </c>
      <c r="F8" s="2" t="s">
        <v>71</v>
      </c>
      <c r="G8" s="3">
        <v>2</v>
      </c>
      <c r="H8" s="3" t="s">
        <v>48</v>
      </c>
      <c r="I8" s="3" t="s">
        <v>80</v>
      </c>
      <c r="J8" s="2" t="s">
        <v>84</v>
      </c>
      <c r="K8" s="2" t="str">
        <f>MID(E8,3,2)&amp;"AE00"&amp;RIGHT(E8,2)</f>
        <v>ROAE0013</v>
      </c>
      <c r="L8" s="2"/>
      <c r="M8" s="2"/>
      <c r="N8" s="2" t="s">
        <v>51</v>
      </c>
      <c r="O8" s="2">
        <v>84818090</v>
      </c>
      <c r="P8" s="2">
        <v>1085</v>
      </c>
      <c r="Q8" s="2">
        <v>1085</v>
      </c>
      <c r="R8" s="2">
        <v>2170</v>
      </c>
      <c r="S8" s="2">
        <v>1085</v>
      </c>
      <c r="T8" s="2">
        <v>1085</v>
      </c>
      <c r="U8" s="2">
        <v>1085</v>
      </c>
      <c r="V8" s="2" t="s">
        <v>71</v>
      </c>
      <c r="W8" s="2" t="s">
        <v>71</v>
      </c>
      <c r="X8" s="2" t="s">
        <v>71</v>
      </c>
      <c r="Y8" s="2" t="s">
        <v>71</v>
      </c>
      <c r="Z8" s="2" t="s">
        <v>52</v>
      </c>
      <c r="AA8" s="3">
        <v>1</v>
      </c>
      <c r="AB8" s="3">
        <v>0</v>
      </c>
      <c r="AC8" s="3">
        <v>1</v>
      </c>
      <c r="AD8" s="3">
        <v>0</v>
      </c>
      <c r="AE8" s="3" t="s">
        <v>123</v>
      </c>
      <c r="AF8" s="2">
        <v>1</v>
      </c>
      <c r="AG8" s="2">
        <v>0</v>
      </c>
      <c r="AH8" s="2">
        <v>0</v>
      </c>
      <c r="AI8" s="3">
        <v>2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10</v>
      </c>
      <c r="AR8" s="2">
        <v>0</v>
      </c>
      <c r="AS8" s="2"/>
      <c r="AT8" s="2"/>
      <c r="AU8" s="2"/>
      <c r="AV8" s="2"/>
      <c r="AW8" s="2"/>
      <c r="AX8" s="2"/>
    </row>
    <row r="9" spans="1:50" x14ac:dyDescent="0.25">
      <c r="A9" s="2" t="s">
        <v>61</v>
      </c>
      <c r="B9" s="2"/>
      <c r="C9" s="4" t="s">
        <v>132</v>
      </c>
      <c r="D9" s="2" t="s">
        <v>94</v>
      </c>
      <c r="E9" s="2" t="s">
        <v>94</v>
      </c>
      <c r="F9" s="2" t="s">
        <v>71</v>
      </c>
      <c r="G9" s="3">
        <v>2</v>
      </c>
      <c r="H9" s="3" t="s">
        <v>48</v>
      </c>
      <c r="I9" s="3" t="s">
        <v>80</v>
      </c>
      <c r="J9" s="2" t="s">
        <v>84</v>
      </c>
      <c r="K9" s="2" t="str">
        <f>MID(E9,3,2)&amp;"AE00"&amp;RIGHT(E9,2)</f>
        <v>MAAE0013</v>
      </c>
      <c r="L9" s="2"/>
      <c r="M9" s="2"/>
      <c r="N9" s="2" t="s">
        <v>51</v>
      </c>
      <c r="O9" s="2">
        <v>84818090</v>
      </c>
      <c r="P9" s="2">
        <v>818</v>
      </c>
      <c r="Q9" s="2">
        <v>818</v>
      </c>
      <c r="R9" s="2">
        <v>1636</v>
      </c>
      <c r="S9" s="2">
        <v>818</v>
      </c>
      <c r="T9" s="2">
        <v>818</v>
      </c>
      <c r="U9" s="2">
        <v>818</v>
      </c>
      <c r="V9" s="2" t="s">
        <v>71</v>
      </c>
      <c r="W9" s="2" t="s">
        <v>71</v>
      </c>
      <c r="X9" s="2" t="s">
        <v>71</v>
      </c>
      <c r="Y9" s="2" t="s">
        <v>71</v>
      </c>
      <c r="Z9" s="2" t="s">
        <v>52</v>
      </c>
      <c r="AA9" s="3">
        <v>1</v>
      </c>
      <c r="AB9" s="3">
        <v>0</v>
      </c>
      <c r="AC9" s="3">
        <v>1</v>
      </c>
      <c r="AD9" s="3">
        <v>0</v>
      </c>
      <c r="AE9" s="3" t="s">
        <v>123</v>
      </c>
      <c r="AF9" s="2">
        <v>1</v>
      </c>
      <c r="AG9" s="2">
        <v>0</v>
      </c>
      <c r="AH9" s="2">
        <v>0</v>
      </c>
      <c r="AI9" s="3">
        <v>2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10</v>
      </c>
      <c r="AR9" s="2">
        <v>0</v>
      </c>
      <c r="AS9" s="2"/>
      <c r="AT9" s="2"/>
      <c r="AU9" s="2"/>
      <c r="AV9" s="2"/>
      <c r="AW9" s="2"/>
      <c r="AX9" s="2"/>
    </row>
    <row r="10" spans="1:50" x14ac:dyDescent="0.25">
      <c r="A10" s="2" t="s">
        <v>62</v>
      </c>
      <c r="B10" s="2"/>
      <c r="C10" s="4" t="s">
        <v>133</v>
      </c>
      <c r="D10" s="2" t="s">
        <v>95</v>
      </c>
      <c r="E10" s="2" t="s">
        <v>95</v>
      </c>
      <c r="F10" s="2" t="s">
        <v>71</v>
      </c>
      <c r="G10" s="3">
        <v>2</v>
      </c>
      <c r="H10" s="3" t="s">
        <v>48</v>
      </c>
      <c r="I10" s="3" t="s">
        <v>80</v>
      </c>
      <c r="J10" s="2" t="s">
        <v>84</v>
      </c>
      <c r="K10" s="2" t="str">
        <f>MID(E10,3,2)&amp;"AE00"&amp;RIGHT(E10,2)</f>
        <v>AVAE0013</v>
      </c>
      <c r="L10" s="2"/>
      <c r="M10" s="2"/>
      <c r="N10" s="2" t="s">
        <v>51</v>
      </c>
      <c r="O10" s="2">
        <v>84818090</v>
      </c>
      <c r="P10" s="2">
        <v>948</v>
      </c>
      <c r="Q10" s="2">
        <v>948</v>
      </c>
      <c r="R10" s="2">
        <v>1896</v>
      </c>
      <c r="S10" s="2">
        <v>948</v>
      </c>
      <c r="T10" s="2">
        <v>948</v>
      </c>
      <c r="U10" s="2">
        <v>948</v>
      </c>
      <c r="V10" s="2" t="s">
        <v>71</v>
      </c>
      <c r="W10" s="2" t="s">
        <v>71</v>
      </c>
      <c r="X10" s="2" t="s">
        <v>71</v>
      </c>
      <c r="Y10" s="2" t="s">
        <v>71</v>
      </c>
      <c r="Z10" s="2" t="s">
        <v>52</v>
      </c>
      <c r="AA10" s="3">
        <v>1</v>
      </c>
      <c r="AB10" s="3">
        <v>0</v>
      </c>
      <c r="AC10" s="3">
        <v>1</v>
      </c>
      <c r="AD10" s="3">
        <v>0</v>
      </c>
      <c r="AE10" s="3" t="s">
        <v>123</v>
      </c>
      <c r="AF10" s="2">
        <v>1</v>
      </c>
      <c r="AG10" s="2">
        <v>0</v>
      </c>
      <c r="AH10" s="2">
        <v>0</v>
      </c>
      <c r="AI10" s="3">
        <v>2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10</v>
      </c>
      <c r="AR10" s="2">
        <v>0</v>
      </c>
      <c r="AS10" s="2"/>
      <c r="AT10" s="2"/>
      <c r="AU10" s="2"/>
      <c r="AV10" s="2"/>
      <c r="AW10" s="2"/>
      <c r="AX10" s="2"/>
    </row>
    <row r="11" spans="1:50" x14ac:dyDescent="0.25">
      <c r="A11" s="2" t="s">
        <v>63</v>
      </c>
      <c r="B11" s="2"/>
      <c r="C11" s="4" t="s">
        <v>134</v>
      </c>
      <c r="D11" s="2" t="s">
        <v>96</v>
      </c>
      <c r="E11" s="2" t="s">
        <v>96</v>
      </c>
      <c r="F11" s="2" t="s">
        <v>71</v>
      </c>
      <c r="G11" s="3">
        <v>2</v>
      </c>
      <c r="H11" s="3" t="s">
        <v>48</v>
      </c>
      <c r="I11" s="3" t="s">
        <v>80</v>
      </c>
      <c r="J11" s="2" t="s">
        <v>84</v>
      </c>
      <c r="K11" s="2" t="str">
        <f>MID(E11,3,2)&amp;"AE00"&amp;RIGHT(E11,2)</f>
        <v>ASAE0013</v>
      </c>
      <c r="L11" s="2"/>
      <c r="M11" s="2"/>
      <c r="N11" s="2" t="s">
        <v>51</v>
      </c>
      <c r="O11" s="2">
        <v>84818090</v>
      </c>
      <c r="P11" s="2">
        <v>881</v>
      </c>
      <c r="Q11" s="2">
        <v>881</v>
      </c>
      <c r="R11" s="2">
        <v>1762</v>
      </c>
      <c r="S11" s="2">
        <v>881</v>
      </c>
      <c r="T11" s="2">
        <v>881</v>
      </c>
      <c r="U11" s="2">
        <v>881</v>
      </c>
      <c r="V11" s="2" t="s">
        <v>71</v>
      </c>
      <c r="W11" s="2" t="s">
        <v>71</v>
      </c>
      <c r="X11" s="2" t="s">
        <v>71</v>
      </c>
      <c r="Y11" s="2" t="s">
        <v>71</v>
      </c>
      <c r="Z11" s="2" t="s">
        <v>52</v>
      </c>
      <c r="AA11" s="3">
        <v>1</v>
      </c>
      <c r="AB11" s="3">
        <v>0</v>
      </c>
      <c r="AC11" s="3">
        <v>1</v>
      </c>
      <c r="AD11" s="3">
        <v>0</v>
      </c>
      <c r="AE11" s="3" t="s">
        <v>123</v>
      </c>
      <c r="AF11" s="2">
        <v>1</v>
      </c>
      <c r="AG11" s="2">
        <v>0</v>
      </c>
      <c r="AH11" s="2">
        <v>0</v>
      </c>
      <c r="AI11" s="3">
        <v>2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10</v>
      </c>
      <c r="AR11" s="2">
        <v>0</v>
      </c>
      <c r="AS11" s="2"/>
      <c r="AT11" s="2"/>
      <c r="AU11" s="2"/>
      <c r="AV11" s="2"/>
      <c r="AW11" s="2"/>
      <c r="AX11" s="2"/>
    </row>
    <row r="12" spans="1:50" x14ac:dyDescent="0.25">
      <c r="A12" s="2" t="s">
        <v>64</v>
      </c>
      <c r="B12" s="2"/>
      <c r="C12" s="4" t="s">
        <v>135</v>
      </c>
      <c r="D12" s="2" t="s">
        <v>97</v>
      </c>
      <c r="E12" s="2" t="s">
        <v>97</v>
      </c>
      <c r="F12" s="2" t="s">
        <v>71</v>
      </c>
      <c r="G12" s="3">
        <v>2</v>
      </c>
      <c r="H12" s="3" t="s">
        <v>48</v>
      </c>
      <c r="I12" s="3" t="s">
        <v>80</v>
      </c>
      <c r="J12" s="2" t="s">
        <v>84</v>
      </c>
      <c r="K12" s="2" t="str">
        <f>MID(E12,3,2)&amp;"AE00"&amp;RIGHT(E12,2)</f>
        <v>ASAE0013</v>
      </c>
      <c r="L12" s="2"/>
      <c r="M12" s="2"/>
      <c r="N12" s="2" t="s">
        <v>51</v>
      </c>
      <c r="O12" s="2">
        <v>84818090</v>
      </c>
      <c r="P12" s="2">
        <v>818</v>
      </c>
      <c r="Q12" s="2">
        <v>818</v>
      </c>
      <c r="R12" s="2">
        <v>1636</v>
      </c>
      <c r="S12" s="2">
        <v>818</v>
      </c>
      <c r="T12" s="2">
        <v>818</v>
      </c>
      <c r="U12" s="2">
        <v>818</v>
      </c>
      <c r="V12" s="2" t="s">
        <v>71</v>
      </c>
      <c r="W12" s="2" t="s">
        <v>71</v>
      </c>
      <c r="X12" s="2" t="s">
        <v>71</v>
      </c>
      <c r="Y12" s="2" t="s">
        <v>71</v>
      </c>
      <c r="Z12" s="2" t="s">
        <v>52</v>
      </c>
      <c r="AA12" s="3">
        <v>1</v>
      </c>
      <c r="AB12" s="3">
        <v>0</v>
      </c>
      <c r="AC12" s="3">
        <v>1</v>
      </c>
      <c r="AD12" s="3">
        <v>0</v>
      </c>
      <c r="AE12" s="3" t="s">
        <v>123</v>
      </c>
      <c r="AF12" s="2">
        <v>1</v>
      </c>
      <c r="AG12" s="2">
        <v>0</v>
      </c>
      <c r="AH12" s="2">
        <v>0</v>
      </c>
      <c r="AI12" s="3">
        <v>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/>
      <c r="AT12" s="2"/>
      <c r="AU12" s="2"/>
      <c r="AV12" s="2"/>
      <c r="AW12" s="2"/>
      <c r="AX12" s="2"/>
    </row>
    <row r="13" spans="1:50" x14ac:dyDescent="0.25">
      <c r="A13" s="2" t="s">
        <v>65</v>
      </c>
      <c r="B13" s="2"/>
      <c r="C13" s="4" t="s">
        <v>136</v>
      </c>
      <c r="D13" s="2" t="s">
        <v>98</v>
      </c>
      <c r="E13" s="2" t="s">
        <v>98</v>
      </c>
      <c r="F13" s="2" t="s">
        <v>71</v>
      </c>
      <c r="G13" s="3">
        <v>2</v>
      </c>
      <c r="H13" s="3" t="s">
        <v>48</v>
      </c>
      <c r="I13" s="3" t="s">
        <v>80</v>
      </c>
      <c r="J13" s="2" t="s">
        <v>85</v>
      </c>
      <c r="K13" s="2" t="str">
        <f>MID(E13,3,2)&amp;"AE00"&amp;RIGHT(E13,2)</f>
        <v>AMAE0013</v>
      </c>
      <c r="L13" s="2"/>
      <c r="M13" s="2"/>
      <c r="N13" s="2" t="s">
        <v>51</v>
      </c>
      <c r="O13" s="2">
        <v>84818090</v>
      </c>
      <c r="P13" s="2">
        <v>1324</v>
      </c>
      <c r="Q13" s="2">
        <v>1324</v>
      </c>
      <c r="R13" s="2">
        <v>2648</v>
      </c>
      <c r="S13" s="2">
        <v>1324</v>
      </c>
      <c r="T13" s="2">
        <v>1324</v>
      </c>
      <c r="U13" s="2">
        <v>1324</v>
      </c>
      <c r="V13" s="2" t="s">
        <v>71</v>
      </c>
      <c r="W13" s="2" t="s">
        <v>71</v>
      </c>
      <c r="X13" s="2" t="s">
        <v>71</v>
      </c>
      <c r="Y13" s="2" t="s">
        <v>71</v>
      </c>
      <c r="Z13" s="2" t="s">
        <v>52</v>
      </c>
      <c r="AA13" s="3">
        <v>1</v>
      </c>
      <c r="AB13" s="3">
        <v>0</v>
      </c>
      <c r="AC13" s="3">
        <v>1</v>
      </c>
      <c r="AD13" s="3">
        <v>0</v>
      </c>
      <c r="AE13" s="3" t="s">
        <v>123</v>
      </c>
      <c r="AF13" s="2">
        <v>1</v>
      </c>
      <c r="AG13" s="2">
        <v>0</v>
      </c>
      <c r="AH13" s="2">
        <v>0</v>
      </c>
      <c r="AI13" s="3">
        <v>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10</v>
      </c>
      <c r="AR13" s="2">
        <v>0</v>
      </c>
      <c r="AS13" s="2"/>
      <c r="AT13" s="2"/>
      <c r="AU13" s="2"/>
      <c r="AV13" s="2"/>
      <c r="AW13" s="2"/>
      <c r="AX13" s="2"/>
    </row>
    <row r="14" spans="1:50" x14ac:dyDescent="0.25">
      <c r="A14" s="2" t="s">
        <v>65</v>
      </c>
      <c r="B14" s="2"/>
      <c r="C14" s="4" t="s">
        <v>137</v>
      </c>
      <c r="D14" s="2" t="s">
        <v>99</v>
      </c>
      <c r="E14" s="2" t="s">
        <v>99</v>
      </c>
      <c r="F14" s="2" t="s">
        <v>71</v>
      </c>
      <c r="G14" s="3">
        <v>2</v>
      </c>
      <c r="H14" s="3" t="s">
        <v>48</v>
      </c>
      <c r="I14" s="3" t="s">
        <v>80</v>
      </c>
      <c r="J14" s="2" t="s">
        <v>86</v>
      </c>
      <c r="K14" s="2" t="str">
        <f>MID(E14,3,2)&amp;"AE00"&amp;RIGHT(E14,2)</f>
        <v>AMAE0013</v>
      </c>
      <c r="L14" s="2"/>
      <c r="M14" s="2"/>
      <c r="N14" s="2" t="s">
        <v>51</v>
      </c>
      <c r="O14" s="2">
        <v>84818090</v>
      </c>
      <c r="P14" s="2">
        <v>1324</v>
      </c>
      <c r="Q14" s="2">
        <v>1324</v>
      </c>
      <c r="R14" s="2">
        <v>2648</v>
      </c>
      <c r="S14" s="2">
        <v>1324</v>
      </c>
      <c r="T14" s="2">
        <v>1324</v>
      </c>
      <c r="U14" s="2">
        <v>1324</v>
      </c>
      <c r="V14" s="2" t="s">
        <v>71</v>
      </c>
      <c r="W14" s="2" t="s">
        <v>71</v>
      </c>
      <c r="X14" s="2" t="s">
        <v>71</v>
      </c>
      <c r="Y14" s="2" t="s">
        <v>71</v>
      </c>
      <c r="Z14" s="2" t="s">
        <v>52</v>
      </c>
      <c r="AA14" s="3">
        <v>1</v>
      </c>
      <c r="AB14" s="3">
        <v>0</v>
      </c>
      <c r="AC14" s="3">
        <v>1</v>
      </c>
      <c r="AD14" s="3">
        <v>0</v>
      </c>
      <c r="AE14" s="3" t="s">
        <v>123</v>
      </c>
      <c r="AF14" s="2">
        <v>1</v>
      </c>
      <c r="AG14" s="2">
        <v>0</v>
      </c>
      <c r="AH14" s="2">
        <v>0</v>
      </c>
      <c r="AI14" s="3">
        <v>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10</v>
      </c>
      <c r="AR14" s="2">
        <v>0</v>
      </c>
      <c r="AS14" s="2"/>
      <c r="AT14" s="2"/>
      <c r="AU14" s="2"/>
      <c r="AV14" s="2"/>
      <c r="AW14" s="2"/>
      <c r="AX14" s="2"/>
    </row>
    <row r="15" spans="1:50" x14ac:dyDescent="0.25">
      <c r="A15" s="2" t="s">
        <v>65</v>
      </c>
      <c r="B15" s="2"/>
      <c r="C15" s="4" t="s">
        <v>138</v>
      </c>
      <c r="D15" s="2" t="s">
        <v>100</v>
      </c>
      <c r="E15" s="2" t="s">
        <v>100</v>
      </c>
      <c r="F15" s="2" t="s">
        <v>71</v>
      </c>
      <c r="G15" s="3">
        <v>2</v>
      </c>
      <c r="H15" s="3" t="s">
        <v>48</v>
      </c>
      <c r="I15" s="3" t="s">
        <v>80</v>
      </c>
      <c r="J15" s="2" t="s">
        <v>84</v>
      </c>
      <c r="K15" s="2" t="str">
        <f>MID(E15,3,2)&amp;"AE00"&amp;RIGHT(E15,2)</f>
        <v>AMAE0013</v>
      </c>
      <c r="L15" s="2"/>
      <c r="M15" s="2"/>
      <c r="N15" s="2" t="s">
        <v>51</v>
      </c>
      <c r="O15" s="2">
        <v>84818090</v>
      </c>
      <c r="P15" s="2">
        <v>985</v>
      </c>
      <c r="Q15" s="2">
        <v>985</v>
      </c>
      <c r="R15" s="2">
        <v>1970</v>
      </c>
      <c r="S15" s="2">
        <v>985</v>
      </c>
      <c r="T15" s="2">
        <v>985</v>
      </c>
      <c r="U15" s="2">
        <v>985</v>
      </c>
      <c r="V15" s="2" t="s">
        <v>71</v>
      </c>
      <c r="W15" s="2" t="s">
        <v>71</v>
      </c>
      <c r="X15" s="2" t="s">
        <v>71</v>
      </c>
      <c r="Y15" s="2" t="s">
        <v>71</v>
      </c>
      <c r="Z15" s="2" t="s">
        <v>52</v>
      </c>
      <c r="AA15" s="3">
        <v>1</v>
      </c>
      <c r="AB15" s="3">
        <v>0</v>
      </c>
      <c r="AC15" s="3">
        <v>1</v>
      </c>
      <c r="AD15" s="3">
        <v>0</v>
      </c>
      <c r="AE15" s="3" t="s">
        <v>123</v>
      </c>
      <c r="AF15" s="2">
        <v>1</v>
      </c>
      <c r="AG15" s="2">
        <v>0</v>
      </c>
      <c r="AH15" s="2">
        <v>0</v>
      </c>
      <c r="AI15" s="3">
        <v>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10</v>
      </c>
      <c r="AR15" s="2">
        <v>0</v>
      </c>
      <c r="AS15" s="2"/>
      <c r="AT15" s="2"/>
      <c r="AU15" s="2"/>
      <c r="AV15" s="2"/>
      <c r="AW15" s="2"/>
      <c r="AX15" s="2"/>
    </row>
    <row r="16" spans="1:50" ht="15.75" thickBot="1" x14ac:dyDescent="0.3">
      <c r="A16" s="2" t="s">
        <v>66</v>
      </c>
      <c r="B16" s="2"/>
      <c r="C16" s="2" t="s">
        <v>140</v>
      </c>
      <c r="D16" s="2">
        <v>6356</v>
      </c>
      <c r="E16" s="2" t="s">
        <v>103</v>
      </c>
      <c r="F16" s="2" t="s">
        <v>72</v>
      </c>
      <c r="G16" s="3">
        <v>4</v>
      </c>
      <c r="H16" s="3" t="s">
        <v>48</v>
      </c>
      <c r="I16" s="3" t="s">
        <v>81</v>
      </c>
      <c r="J16" s="2" t="s">
        <v>53</v>
      </c>
      <c r="K16" s="2" t="str">
        <f>MID(E16,3,2)&amp;"AE00"&amp;RIGHT(E16,2)</f>
        <v>63AE0048</v>
      </c>
      <c r="L16" s="2"/>
      <c r="M16" s="2"/>
      <c r="N16" s="2" t="s">
        <v>117</v>
      </c>
      <c r="O16" s="6">
        <v>39221000</v>
      </c>
      <c r="P16" s="2">
        <v>132</v>
      </c>
      <c r="Q16" s="2">
        <v>132</v>
      </c>
      <c r="R16" s="2">
        <v>264</v>
      </c>
      <c r="S16" s="2">
        <v>132</v>
      </c>
      <c r="T16" s="2">
        <v>132</v>
      </c>
      <c r="U16" s="2">
        <v>132</v>
      </c>
      <c r="V16" s="2" t="s">
        <v>72</v>
      </c>
      <c r="W16" s="2" t="s">
        <v>72</v>
      </c>
      <c r="X16" s="2" t="s">
        <v>72</v>
      </c>
      <c r="Y16" s="2" t="s">
        <v>72</v>
      </c>
      <c r="Z16" s="2" t="s">
        <v>52</v>
      </c>
      <c r="AA16" s="3">
        <v>1</v>
      </c>
      <c r="AB16" s="3">
        <v>0</v>
      </c>
      <c r="AC16" s="3">
        <v>1</v>
      </c>
      <c r="AD16" s="3">
        <v>0</v>
      </c>
      <c r="AE16" s="3" t="s">
        <v>122</v>
      </c>
      <c r="AF16" s="2">
        <v>1</v>
      </c>
      <c r="AG16" s="2">
        <v>0</v>
      </c>
      <c r="AH16" s="2">
        <v>0</v>
      </c>
      <c r="AI16" s="3">
        <v>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2</v>
      </c>
      <c r="AR16" s="2">
        <v>1</v>
      </c>
      <c r="AS16" s="2"/>
      <c r="AT16" s="2"/>
      <c r="AU16" s="2"/>
      <c r="AV16" s="2"/>
      <c r="AW16" s="2"/>
      <c r="AX16" s="2"/>
    </row>
    <row r="17" spans="1:50" ht="15.75" thickBot="1" x14ac:dyDescent="0.3">
      <c r="A17" s="2" t="s">
        <v>66</v>
      </c>
      <c r="B17" s="2"/>
      <c r="C17" s="2" t="s">
        <v>140</v>
      </c>
      <c r="D17" s="2">
        <v>6356</v>
      </c>
      <c r="E17" s="2" t="s">
        <v>104</v>
      </c>
      <c r="F17" s="2" t="s">
        <v>73</v>
      </c>
      <c r="G17" s="3">
        <v>4</v>
      </c>
      <c r="H17" s="3" t="s">
        <v>48</v>
      </c>
      <c r="I17" s="3" t="s">
        <v>81</v>
      </c>
      <c r="J17" s="2" t="s">
        <v>53</v>
      </c>
      <c r="K17" s="2" t="str">
        <f>MID(E17,3,2)&amp;"AE00"&amp;RIGHT(E17,2)</f>
        <v>63AE0036</v>
      </c>
      <c r="L17" s="2"/>
      <c r="M17" s="2"/>
      <c r="N17" s="2" t="s">
        <v>118</v>
      </c>
      <c r="O17" s="6">
        <v>39221000</v>
      </c>
      <c r="P17" s="2">
        <v>116</v>
      </c>
      <c r="Q17" s="2">
        <v>116</v>
      </c>
      <c r="R17" s="2">
        <v>232</v>
      </c>
      <c r="S17" s="2">
        <v>116</v>
      </c>
      <c r="T17" s="2">
        <v>116</v>
      </c>
      <c r="U17" s="2">
        <v>116</v>
      </c>
      <c r="V17" s="2" t="s">
        <v>73</v>
      </c>
      <c r="W17" s="2" t="s">
        <v>73</v>
      </c>
      <c r="X17" s="2" t="s">
        <v>73</v>
      </c>
      <c r="Y17" s="2" t="s">
        <v>73</v>
      </c>
      <c r="Z17" s="2" t="s">
        <v>52</v>
      </c>
      <c r="AA17" s="3">
        <v>1</v>
      </c>
      <c r="AB17" s="3">
        <v>0</v>
      </c>
      <c r="AC17" s="3">
        <v>1</v>
      </c>
      <c r="AD17" s="3">
        <v>0</v>
      </c>
      <c r="AE17" s="3" t="s">
        <v>122</v>
      </c>
      <c r="AF17" s="2">
        <v>1</v>
      </c>
      <c r="AG17" s="2">
        <v>0</v>
      </c>
      <c r="AH17" s="2">
        <v>0</v>
      </c>
      <c r="AI17" s="3">
        <v>2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2</v>
      </c>
      <c r="AR17" s="2">
        <v>1</v>
      </c>
      <c r="AS17" s="2"/>
      <c r="AT17" s="2"/>
      <c r="AU17" s="2"/>
      <c r="AV17" s="2"/>
      <c r="AW17" s="2"/>
      <c r="AX17" s="2"/>
    </row>
    <row r="18" spans="1:50" ht="15.75" thickBot="1" x14ac:dyDescent="0.3">
      <c r="A18" s="2" t="s">
        <v>66</v>
      </c>
      <c r="B18" s="2"/>
      <c r="C18" s="2" t="s">
        <v>140</v>
      </c>
      <c r="D18" s="2">
        <v>6356</v>
      </c>
      <c r="E18" s="2" t="s">
        <v>105</v>
      </c>
      <c r="F18" s="2" t="s">
        <v>74</v>
      </c>
      <c r="G18" s="3">
        <v>4</v>
      </c>
      <c r="H18" s="3" t="s">
        <v>48</v>
      </c>
      <c r="I18" s="3" t="s">
        <v>81</v>
      </c>
      <c r="J18" s="2" t="s">
        <v>53</v>
      </c>
      <c r="K18" s="2" t="str">
        <f>MID(E18,3,2)&amp;"AE00"&amp;RIGHT(E18,2)</f>
        <v>63AE0030</v>
      </c>
      <c r="L18" s="2"/>
      <c r="M18" s="2"/>
      <c r="N18" s="2" t="s">
        <v>119</v>
      </c>
      <c r="O18" s="6">
        <v>39221000</v>
      </c>
      <c r="P18" s="2">
        <v>102</v>
      </c>
      <c r="Q18" s="2">
        <v>102</v>
      </c>
      <c r="R18" s="2">
        <v>204</v>
      </c>
      <c r="S18" s="2">
        <v>102</v>
      </c>
      <c r="T18" s="2">
        <v>102</v>
      </c>
      <c r="U18" s="2">
        <v>102</v>
      </c>
      <c r="V18" s="2" t="s">
        <v>74</v>
      </c>
      <c r="W18" s="2" t="s">
        <v>74</v>
      </c>
      <c r="X18" s="2" t="s">
        <v>74</v>
      </c>
      <c r="Y18" s="2" t="s">
        <v>74</v>
      </c>
      <c r="Z18" s="2" t="s">
        <v>52</v>
      </c>
      <c r="AA18" s="3">
        <v>1</v>
      </c>
      <c r="AB18" s="3">
        <v>0</v>
      </c>
      <c r="AC18" s="3">
        <v>1</v>
      </c>
      <c r="AD18" s="3">
        <v>0</v>
      </c>
      <c r="AE18" s="3" t="s">
        <v>122</v>
      </c>
      <c r="AF18" s="2">
        <v>1</v>
      </c>
      <c r="AG18" s="2">
        <v>0</v>
      </c>
      <c r="AH18" s="2">
        <v>0</v>
      </c>
      <c r="AI18" s="3">
        <v>2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2</v>
      </c>
      <c r="AR18" s="2">
        <v>1</v>
      </c>
      <c r="AS18" s="2"/>
      <c r="AT18" s="2"/>
      <c r="AU18" s="2"/>
      <c r="AV18" s="2"/>
      <c r="AW18" s="2"/>
      <c r="AX18" s="2"/>
    </row>
    <row r="19" spans="1:50" ht="15.75" thickBot="1" x14ac:dyDescent="0.3">
      <c r="A19" s="2" t="s">
        <v>66</v>
      </c>
      <c r="B19" s="2"/>
      <c r="C19" s="2" t="s">
        <v>140</v>
      </c>
      <c r="D19" s="2">
        <v>6356</v>
      </c>
      <c r="E19" s="2" t="s">
        <v>106</v>
      </c>
      <c r="F19" s="2" t="s">
        <v>75</v>
      </c>
      <c r="G19" s="3">
        <v>4</v>
      </c>
      <c r="H19" s="3" t="s">
        <v>48</v>
      </c>
      <c r="I19" s="3" t="s">
        <v>81</v>
      </c>
      <c r="J19" s="2" t="s">
        <v>53</v>
      </c>
      <c r="K19" s="2" t="str">
        <f>MID(E19,3,2)&amp;"AE00"&amp;RIGHT(E19,2)</f>
        <v>63AE0024</v>
      </c>
      <c r="L19" s="2"/>
      <c r="M19" s="2"/>
      <c r="N19" s="2" t="s">
        <v>120</v>
      </c>
      <c r="O19" s="6">
        <v>39221000</v>
      </c>
      <c r="P19" s="2">
        <v>90</v>
      </c>
      <c r="Q19" s="2">
        <v>90</v>
      </c>
      <c r="R19" s="2">
        <v>180</v>
      </c>
      <c r="S19" s="2">
        <v>90</v>
      </c>
      <c r="T19" s="2">
        <v>90</v>
      </c>
      <c r="U19" s="2">
        <v>90</v>
      </c>
      <c r="V19" s="2" t="s">
        <v>75</v>
      </c>
      <c r="W19" s="2" t="s">
        <v>75</v>
      </c>
      <c r="X19" s="2" t="s">
        <v>75</v>
      </c>
      <c r="Y19" s="2" t="s">
        <v>75</v>
      </c>
      <c r="Z19" s="2" t="s">
        <v>52</v>
      </c>
      <c r="AA19" s="3">
        <v>1</v>
      </c>
      <c r="AB19" s="3">
        <v>0</v>
      </c>
      <c r="AC19" s="3">
        <v>1</v>
      </c>
      <c r="AD19" s="3">
        <v>0</v>
      </c>
      <c r="AE19" s="3" t="s">
        <v>122</v>
      </c>
      <c r="AF19" s="2">
        <v>1</v>
      </c>
      <c r="AG19" s="2">
        <v>0</v>
      </c>
      <c r="AH19" s="2">
        <v>0</v>
      </c>
      <c r="AI19" s="3">
        <v>2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2</v>
      </c>
      <c r="AR19" s="2">
        <v>1</v>
      </c>
      <c r="AS19" s="2"/>
      <c r="AT19" s="2"/>
      <c r="AU19" s="2"/>
      <c r="AV19" s="2"/>
      <c r="AW19" s="2"/>
      <c r="AX19" s="2"/>
    </row>
    <row r="20" spans="1:50" ht="15.75" thickBot="1" x14ac:dyDescent="0.3">
      <c r="A20" s="2" t="s">
        <v>66</v>
      </c>
      <c r="B20" s="2"/>
      <c r="C20" s="2" t="s">
        <v>140</v>
      </c>
      <c r="D20" s="2">
        <v>6356</v>
      </c>
      <c r="E20" s="2" t="s">
        <v>107</v>
      </c>
      <c r="F20" s="2" t="s">
        <v>76</v>
      </c>
      <c r="G20" s="3">
        <v>4</v>
      </c>
      <c r="H20" s="3" t="s">
        <v>48</v>
      </c>
      <c r="I20" s="3" t="s">
        <v>81</v>
      </c>
      <c r="J20" s="2" t="s">
        <v>53</v>
      </c>
      <c r="K20" s="2" t="str">
        <f>MID(E20,3,2)&amp;"AE00"&amp;RIGHT(E20,2)</f>
        <v>63AE0018</v>
      </c>
      <c r="L20" s="2"/>
      <c r="M20" s="2"/>
      <c r="N20" s="2" t="s">
        <v>121</v>
      </c>
      <c r="O20" s="6">
        <v>39221000</v>
      </c>
      <c r="P20" s="2">
        <v>82</v>
      </c>
      <c r="Q20" s="2">
        <v>82</v>
      </c>
      <c r="R20" s="2">
        <v>164</v>
      </c>
      <c r="S20" s="2">
        <v>82</v>
      </c>
      <c r="T20" s="2">
        <v>82</v>
      </c>
      <c r="U20" s="2">
        <v>82</v>
      </c>
      <c r="V20" s="2" t="s">
        <v>76</v>
      </c>
      <c r="W20" s="2" t="s">
        <v>76</v>
      </c>
      <c r="X20" s="2" t="s">
        <v>76</v>
      </c>
      <c r="Y20" s="2" t="s">
        <v>76</v>
      </c>
      <c r="Z20" s="2" t="s">
        <v>52</v>
      </c>
      <c r="AA20" s="3">
        <v>1</v>
      </c>
      <c r="AB20" s="3">
        <v>0</v>
      </c>
      <c r="AC20" s="3">
        <v>1</v>
      </c>
      <c r="AD20" s="3">
        <v>0</v>
      </c>
      <c r="AE20" s="3" t="s">
        <v>122</v>
      </c>
      <c r="AF20" s="2">
        <v>1</v>
      </c>
      <c r="AG20" s="2">
        <v>0</v>
      </c>
      <c r="AH20" s="2">
        <v>0</v>
      </c>
      <c r="AI20" s="3">
        <v>2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2</v>
      </c>
      <c r="AR20" s="2">
        <v>1</v>
      </c>
      <c r="AS20" s="2"/>
      <c r="AT20" s="2"/>
      <c r="AU20" s="2"/>
      <c r="AV20" s="2"/>
      <c r="AW20" s="2"/>
      <c r="AX20" s="2"/>
    </row>
    <row r="21" spans="1:50" x14ac:dyDescent="0.25">
      <c r="A21" s="2" t="s">
        <v>67</v>
      </c>
      <c r="B21" s="2"/>
      <c r="C21" s="4" t="s">
        <v>139</v>
      </c>
      <c r="D21" s="2" t="s">
        <v>101</v>
      </c>
      <c r="E21" s="2" t="s">
        <v>101</v>
      </c>
      <c r="F21" s="2" t="s">
        <v>54</v>
      </c>
      <c r="G21" s="3">
        <v>2</v>
      </c>
      <c r="H21" s="3" t="s">
        <v>48</v>
      </c>
      <c r="I21" s="3" t="s">
        <v>80</v>
      </c>
      <c r="J21" s="2" t="s">
        <v>56</v>
      </c>
      <c r="K21" s="2" t="str">
        <f>MID(E21,3,2)&amp;"AE00"&amp;RIGHT(E21,2)</f>
        <v>SOAE0002</v>
      </c>
      <c r="L21" s="2"/>
      <c r="M21" s="2"/>
      <c r="N21" s="2" t="s">
        <v>51</v>
      </c>
      <c r="O21" s="2">
        <v>84818090</v>
      </c>
      <c r="P21" s="2">
        <v>954</v>
      </c>
      <c r="Q21" s="2">
        <v>954</v>
      </c>
      <c r="R21" s="2">
        <v>1908</v>
      </c>
      <c r="S21" s="2">
        <v>954</v>
      </c>
      <c r="T21" s="2">
        <v>954</v>
      </c>
      <c r="U21" s="2">
        <v>954</v>
      </c>
      <c r="V21" s="2" t="s">
        <v>54</v>
      </c>
      <c r="W21" s="2" t="s">
        <v>54</v>
      </c>
      <c r="X21" s="2" t="s">
        <v>54</v>
      </c>
      <c r="Y21" s="2" t="s">
        <v>54</v>
      </c>
      <c r="Z21" s="2" t="s">
        <v>52</v>
      </c>
      <c r="AA21" s="3">
        <v>1</v>
      </c>
      <c r="AB21" s="3">
        <v>0</v>
      </c>
      <c r="AC21" s="3">
        <v>1</v>
      </c>
      <c r="AD21" s="3">
        <v>0</v>
      </c>
      <c r="AE21" s="3" t="s">
        <v>123</v>
      </c>
      <c r="AF21" s="2">
        <v>1</v>
      </c>
      <c r="AG21" s="2">
        <v>0</v>
      </c>
      <c r="AH21" s="2">
        <v>0</v>
      </c>
      <c r="AI21" s="3">
        <v>2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10</v>
      </c>
      <c r="AR21" s="2">
        <v>0</v>
      </c>
      <c r="AS21" s="2"/>
      <c r="AT21" s="2"/>
      <c r="AU21" s="2"/>
      <c r="AV21" s="2"/>
      <c r="AW21" s="2"/>
      <c r="AX21" s="2"/>
    </row>
    <row r="22" spans="1:50" x14ac:dyDescent="0.25">
      <c r="A22" s="2" t="s">
        <v>69</v>
      </c>
      <c r="B22" s="2"/>
      <c r="C22" s="2" t="s">
        <v>141</v>
      </c>
      <c r="D22" s="2">
        <v>2003</v>
      </c>
      <c r="E22" s="2" t="s">
        <v>108</v>
      </c>
      <c r="F22" s="2" t="s">
        <v>77</v>
      </c>
      <c r="G22" s="3"/>
      <c r="H22" s="3" t="s">
        <v>48</v>
      </c>
      <c r="I22" s="3" t="s">
        <v>82</v>
      </c>
      <c r="J22" s="2" t="s">
        <v>53</v>
      </c>
      <c r="K22" s="2" t="str">
        <f>MID(E22,3,2)&amp;"AE00"&amp;RIGHT(E22,2)</f>
        <v>PTAE0003</v>
      </c>
      <c r="L22" s="2"/>
      <c r="M22" s="2"/>
      <c r="N22" s="2" t="s">
        <v>56</v>
      </c>
      <c r="O22" s="2">
        <v>39249090</v>
      </c>
      <c r="P22" s="2">
        <v>1480</v>
      </c>
      <c r="Q22" s="2">
        <v>1480</v>
      </c>
      <c r="R22" s="2">
        <v>2960</v>
      </c>
      <c r="S22" s="2">
        <v>1480</v>
      </c>
      <c r="T22" s="2">
        <v>1480</v>
      </c>
      <c r="U22" s="2">
        <v>1480</v>
      </c>
      <c r="V22" s="2" t="s">
        <v>77</v>
      </c>
      <c r="W22" s="2" t="s">
        <v>77</v>
      </c>
      <c r="X22" s="2" t="s">
        <v>77</v>
      </c>
      <c r="Y22" s="2" t="s">
        <v>77</v>
      </c>
      <c r="Z22" s="2" t="s">
        <v>52</v>
      </c>
      <c r="AA22" s="3">
        <v>1</v>
      </c>
      <c r="AB22" s="3">
        <v>0</v>
      </c>
      <c r="AC22" s="3">
        <v>1</v>
      </c>
      <c r="AD22" s="3">
        <v>0</v>
      </c>
      <c r="AE22" s="3" t="s">
        <v>124</v>
      </c>
      <c r="AF22" s="2">
        <v>1</v>
      </c>
      <c r="AG22" s="2">
        <v>0</v>
      </c>
      <c r="AH22" s="2">
        <v>0</v>
      </c>
      <c r="AI22" s="3">
        <v>2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/>
      <c r="AT22" s="2"/>
      <c r="AU22" s="2"/>
      <c r="AV22" s="2"/>
      <c r="AW22" s="2"/>
      <c r="AX22" s="2"/>
    </row>
    <row r="23" spans="1:50" x14ac:dyDescent="0.25">
      <c r="A23" s="2" t="s">
        <v>68</v>
      </c>
      <c r="B23" s="2"/>
      <c r="C23" s="2" t="s">
        <v>142</v>
      </c>
      <c r="D23" s="5" t="s">
        <v>150</v>
      </c>
      <c r="E23" s="2" t="s">
        <v>109</v>
      </c>
      <c r="F23" s="2" t="s">
        <v>78</v>
      </c>
      <c r="G23" s="3">
        <v>2</v>
      </c>
      <c r="H23" s="3" t="s">
        <v>48</v>
      </c>
      <c r="I23" s="3" t="s">
        <v>80</v>
      </c>
      <c r="J23" s="2" t="s">
        <v>84</v>
      </c>
      <c r="K23" s="2" t="str">
        <f>MID(E23,3,2)&amp;"AE00"&amp;RIGHT(E23,2)</f>
        <v>SLAE0015</v>
      </c>
      <c r="L23" s="2"/>
      <c r="M23" s="2"/>
      <c r="N23" s="2" t="s">
        <v>51</v>
      </c>
      <c r="O23" s="2">
        <v>84818090</v>
      </c>
      <c r="P23" s="2">
        <v>4198</v>
      </c>
      <c r="Q23" s="2">
        <v>4198</v>
      </c>
      <c r="R23" s="2">
        <v>8396</v>
      </c>
      <c r="S23" s="2">
        <v>4198</v>
      </c>
      <c r="T23" s="2">
        <v>4198</v>
      </c>
      <c r="U23" s="2">
        <v>4198</v>
      </c>
      <c r="V23" s="2" t="s">
        <v>78</v>
      </c>
      <c r="W23" s="2" t="s">
        <v>78</v>
      </c>
      <c r="X23" s="2" t="s">
        <v>78</v>
      </c>
      <c r="Y23" s="2" t="s">
        <v>78</v>
      </c>
      <c r="Z23" s="2" t="s">
        <v>52</v>
      </c>
      <c r="AA23" s="3">
        <v>1</v>
      </c>
      <c r="AB23" s="3">
        <v>0</v>
      </c>
      <c r="AC23" s="3">
        <v>1</v>
      </c>
      <c r="AD23" s="3">
        <v>0</v>
      </c>
      <c r="AE23" s="3" t="s">
        <v>124</v>
      </c>
      <c r="AF23" s="2">
        <v>1</v>
      </c>
      <c r="AG23" s="2">
        <v>0</v>
      </c>
      <c r="AH23" s="2">
        <v>0</v>
      </c>
      <c r="AI23" s="3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10</v>
      </c>
      <c r="AR23" s="2">
        <v>5</v>
      </c>
      <c r="AS23" s="2"/>
      <c r="AT23" s="2"/>
      <c r="AU23" s="2"/>
      <c r="AV23" s="2"/>
      <c r="AW23" s="2"/>
      <c r="AX23" s="2"/>
    </row>
    <row r="24" spans="1:50" x14ac:dyDescent="0.25">
      <c r="A24" s="2" t="s">
        <v>68</v>
      </c>
      <c r="B24" s="2"/>
      <c r="C24" s="4" t="s">
        <v>143</v>
      </c>
      <c r="D24" s="5" t="s">
        <v>151</v>
      </c>
      <c r="E24" s="2" t="s">
        <v>110</v>
      </c>
      <c r="F24" s="2" t="s">
        <v>79</v>
      </c>
      <c r="G24" s="3">
        <v>2</v>
      </c>
      <c r="H24" s="3" t="s">
        <v>48</v>
      </c>
      <c r="I24" s="3" t="s">
        <v>80</v>
      </c>
      <c r="J24" s="2" t="s">
        <v>84</v>
      </c>
      <c r="K24" s="2" t="str">
        <f>MID(E24,3,2)&amp;"AE00"&amp;RIGHT(E24,2)</f>
        <v>SLAE0015</v>
      </c>
      <c r="L24" s="2"/>
      <c r="M24" s="2"/>
      <c r="N24" s="2" t="s">
        <v>51</v>
      </c>
      <c r="O24" s="2">
        <v>84818090</v>
      </c>
      <c r="P24" s="2">
        <v>13800</v>
      </c>
      <c r="Q24" s="2">
        <v>13800</v>
      </c>
      <c r="R24" s="2">
        <v>27600</v>
      </c>
      <c r="S24" s="2">
        <v>13800</v>
      </c>
      <c r="T24" s="2">
        <v>13800</v>
      </c>
      <c r="U24" s="2">
        <v>13800</v>
      </c>
      <c r="V24" s="2" t="s">
        <v>79</v>
      </c>
      <c r="W24" s="2" t="s">
        <v>79</v>
      </c>
      <c r="X24" s="2" t="s">
        <v>79</v>
      </c>
      <c r="Y24" s="2" t="s">
        <v>79</v>
      </c>
      <c r="Z24" s="2" t="s">
        <v>52</v>
      </c>
      <c r="AA24" s="3">
        <v>1</v>
      </c>
      <c r="AB24" s="3">
        <v>0</v>
      </c>
      <c r="AC24" s="3">
        <v>1</v>
      </c>
      <c r="AD24" s="3">
        <v>0</v>
      </c>
      <c r="AE24" s="3" t="s">
        <v>124</v>
      </c>
      <c r="AF24" s="2">
        <v>1</v>
      </c>
      <c r="AG24" s="2">
        <v>0</v>
      </c>
      <c r="AH24" s="2">
        <v>0</v>
      </c>
      <c r="AI24" s="3">
        <v>2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10</v>
      </c>
      <c r="AR24" s="2">
        <v>5</v>
      </c>
      <c r="AS24" s="2"/>
      <c r="AT24" s="2"/>
      <c r="AU24" s="2"/>
      <c r="AV24" s="2"/>
      <c r="AW24" s="2"/>
      <c r="AX24" s="2"/>
    </row>
    <row r="25" spans="1:50" x14ac:dyDescent="0.25">
      <c r="A25" s="2" t="s">
        <v>68</v>
      </c>
      <c r="B25" s="2"/>
      <c r="C25" s="4" t="s">
        <v>144</v>
      </c>
      <c r="D25" s="5" t="s">
        <v>152</v>
      </c>
      <c r="E25" s="2" t="s">
        <v>111</v>
      </c>
      <c r="F25" s="2" t="s">
        <v>79</v>
      </c>
      <c r="G25" s="3">
        <v>2</v>
      </c>
      <c r="H25" s="3" t="s">
        <v>48</v>
      </c>
      <c r="I25" s="3" t="s">
        <v>80</v>
      </c>
      <c r="J25" s="2" t="s">
        <v>84</v>
      </c>
      <c r="K25" s="2" t="str">
        <f>MID(E25,3,2)&amp;"AE00"&amp;RIGHT(E25,2)</f>
        <v>SLAE0015</v>
      </c>
      <c r="L25" s="2"/>
      <c r="M25" s="2"/>
      <c r="N25" s="2" t="s">
        <v>51</v>
      </c>
      <c r="O25" s="2">
        <v>84818090</v>
      </c>
      <c r="P25" s="2">
        <v>12600</v>
      </c>
      <c r="Q25" s="2">
        <v>12600</v>
      </c>
      <c r="R25" s="2">
        <v>25200</v>
      </c>
      <c r="S25" s="2">
        <v>12600</v>
      </c>
      <c r="T25" s="2">
        <v>12600</v>
      </c>
      <c r="U25" s="2">
        <v>12600</v>
      </c>
      <c r="V25" s="2" t="s">
        <v>79</v>
      </c>
      <c r="W25" s="2" t="s">
        <v>79</v>
      </c>
      <c r="X25" s="2" t="s">
        <v>79</v>
      </c>
      <c r="Y25" s="2" t="s">
        <v>79</v>
      </c>
      <c r="Z25" s="2" t="s">
        <v>52</v>
      </c>
      <c r="AA25" s="3">
        <v>1</v>
      </c>
      <c r="AB25" s="3">
        <v>0</v>
      </c>
      <c r="AC25" s="3">
        <v>1</v>
      </c>
      <c r="AD25" s="3">
        <v>0</v>
      </c>
      <c r="AE25" s="3" t="s">
        <v>124</v>
      </c>
      <c r="AF25" s="2">
        <v>1</v>
      </c>
      <c r="AG25" s="2">
        <v>0</v>
      </c>
      <c r="AH25" s="2">
        <v>0</v>
      </c>
      <c r="AI25" s="3">
        <v>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10</v>
      </c>
      <c r="AR25" s="2">
        <v>5</v>
      </c>
      <c r="AS25" s="2"/>
      <c r="AT25" s="2"/>
      <c r="AU25" s="2"/>
      <c r="AV25" s="2"/>
      <c r="AW25" s="2"/>
      <c r="AX25" s="2"/>
    </row>
    <row r="26" spans="1:50" x14ac:dyDescent="0.25">
      <c r="A26" s="2" t="s">
        <v>68</v>
      </c>
      <c r="B26" s="2"/>
      <c r="C26" s="4" t="s">
        <v>145</v>
      </c>
      <c r="D26" s="5" t="s">
        <v>153</v>
      </c>
      <c r="E26" s="2" t="s">
        <v>112</v>
      </c>
      <c r="F26" s="2" t="s">
        <v>79</v>
      </c>
      <c r="G26" s="3">
        <v>2</v>
      </c>
      <c r="H26" s="3" t="s">
        <v>48</v>
      </c>
      <c r="I26" s="3" t="s">
        <v>80</v>
      </c>
      <c r="J26" s="2" t="s">
        <v>84</v>
      </c>
      <c r="K26" s="2" t="str">
        <f>MID(E26,3,2)&amp;"AE00"&amp;RIGHT(E26,2)</f>
        <v>SLAE0015</v>
      </c>
      <c r="L26" s="2"/>
      <c r="M26" s="2"/>
      <c r="N26" s="2" t="s">
        <v>51</v>
      </c>
      <c r="O26" s="2">
        <v>84818090</v>
      </c>
      <c r="P26" s="2">
        <v>13990</v>
      </c>
      <c r="Q26" s="2">
        <v>13990</v>
      </c>
      <c r="R26" s="2">
        <v>27980</v>
      </c>
      <c r="S26" s="2">
        <v>13990</v>
      </c>
      <c r="T26" s="2">
        <v>13990</v>
      </c>
      <c r="U26" s="2">
        <v>13990</v>
      </c>
      <c r="V26" s="2" t="s">
        <v>79</v>
      </c>
      <c r="W26" s="2" t="s">
        <v>79</v>
      </c>
      <c r="X26" s="2" t="s">
        <v>79</v>
      </c>
      <c r="Y26" s="2" t="s">
        <v>79</v>
      </c>
      <c r="Z26" s="2" t="s">
        <v>52</v>
      </c>
      <c r="AA26" s="3">
        <v>1</v>
      </c>
      <c r="AB26" s="3">
        <v>0</v>
      </c>
      <c r="AC26" s="3">
        <v>1</v>
      </c>
      <c r="AD26" s="3">
        <v>0</v>
      </c>
      <c r="AE26" s="3" t="s">
        <v>124</v>
      </c>
      <c r="AF26" s="2">
        <v>1</v>
      </c>
      <c r="AG26" s="2">
        <v>0</v>
      </c>
      <c r="AH26" s="2">
        <v>0</v>
      </c>
      <c r="AI26" s="3">
        <v>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10</v>
      </c>
      <c r="AR26" s="2">
        <v>5</v>
      </c>
      <c r="AS26" s="2"/>
      <c r="AT26" s="2"/>
      <c r="AU26" s="2"/>
      <c r="AV26" s="2"/>
      <c r="AW26" s="2"/>
      <c r="AX26" s="2"/>
    </row>
    <row r="27" spans="1:50" x14ac:dyDescent="0.25">
      <c r="A27" s="2" t="s">
        <v>68</v>
      </c>
      <c r="B27" s="2"/>
      <c r="C27" s="4" t="s">
        <v>146</v>
      </c>
      <c r="D27" s="5" t="s">
        <v>154</v>
      </c>
      <c r="E27" s="2" t="s">
        <v>113</v>
      </c>
      <c r="F27" s="2" t="s">
        <v>79</v>
      </c>
      <c r="G27" s="3">
        <v>2</v>
      </c>
      <c r="H27" s="3" t="s">
        <v>48</v>
      </c>
      <c r="I27" s="3" t="s">
        <v>80</v>
      </c>
      <c r="J27" s="2" t="s">
        <v>84</v>
      </c>
      <c r="K27" s="2" t="str">
        <f>MID(E27,3,2)&amp;"AE00"&amp;RIGHT(E27,2)</f>
        <v>SLAE0015</v>
      </c>
      <c r="L27" s="2"/>
      <c r="M27" s="2"/>
      <c r="N27" s="2" t="s">
        <v>51</v>
      </c>
      <c r="O27" s="2">
        <v>84818090</v>
      </c>
      <c r="P27" s="2">
        <v>10400</v>
      </c>
      <c r="Q27" s="2">
        <v>10400</v>
      </c>
      <c r="R27" s="2">
        <v>20800</v>
      </c>
      <c r="S27" s="2">
        <v>10400</v>
      </c>
      <c r="T27" s="2">
        <v>10400</v>
      </c>
      <c r="U27" s="2">
        <v>10400</v>
      </c>
      <c r="V27" s="2" t="s">
        <v>79</v>
      </c>
      <c r="W27" s="2" t="s">
        <v>79</v>
      </c>
      <c r="X27" s="2" t="s">
        <v>79</v>
      </c>
      <c r="Y27" s="2" t="s">
        <v>79</v>
      </c>
      <c r="Z27" s="2" t="s">
        <v>52</v>
      </c>
      <c r="AA27" s="3">
        <v>1</v>
      </c>
      <c r="AB27" s="3">
        <v>0</v>
      </c>
      <c r="AC27" s="3">
        <v>1</v>
      </c>
      <c r="AD27" s="3">
        <v>0</v>
      </c>
      <c r="AE27" s="3" t="s">
        <v>124</v>
      </c>
      <c r="AF27" s="2">
        <v>1</v>
      </c>
      <c r="AG27" s="2">
        <v>0</v>
      </c>
      <c r="AH27" s="2">
        <v>0</v>
      </c>
      <c r="AI27" s="3">
        <v>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10</v>
      </c>
      <c r="AR27" s="2">
        <v>5</v>
      </c>
      <c r="AS27" s="2"/>
      <c r="AT27" s="2"/>
      <c r="AU27" s="2"/>
      <c r="AV27" s="2"/>
      <c r="AW27" s="2"/>
      <c r="AX27" s="2"/>
    </row>
    <row r="28" spans="1:50" x14ac:dyDescent="0.25">
      <c r="A28" s="2" t="s">
        <v>68</v>
      </c>
      <c r="B28" s="2"/>
      <c r="C28" s="4" t="s">
        <v>147</v>
      </c>
      <c r="D28" s="5" t="s">
        <v>155</v>
      </c>
      <c r="E28" s="2" t="s">
        <v>114</v>
      </c>
      <c r="F28" s="2" t="s">
        <v>79</v>
      </c>
      <c r="G28" s="3">
        <v>2</v>
      </c>
      <c r="H28" s="3" t="s">
        <v>48</v>
      </c>
      <c r="I28" s="3" t="s">
        <v>80</v>
      </c>
      <c r="J28" s="2" t="s">
        <v>84</v>
      </c>
      <c r="K28" s="2" t="str">
        <f>MID(E28,3,2)&amp;"AE00"&amp;RIGHT(E28,2)</f>
        <v>SLAE0015</v>
      </c>
      <c r="L28" s="2"/>
      <c r="M28" s="2"/>
      <c r="N28" s="2" t="s">
        <v>51</v>
      </c>
      <c r="O28" s="2">
        <v>84818090</v>
      </c>
      <c r="P28" s="2">
        <v>5995</v>
      </c>
      <c r="Q28" s="2">
        <v>5995</v>
      </c>
      <c r="R28" s="2">
        <v>11990</v>
      </c>
      <c r="S28" s="2">
        <v>5995</v>
      </c>
      <c r="T28" s="2">
        <v>5995</v>
      </c>
      <c r="U28" s="2">
        <v>5995</v>
      </c>
      <c r="V28" s="2" t="s">
        <v>79</v>
      </c>
      <c r="W28" s="2" t="s">
        <v>79</v>
      </c>
      <c r="X28" s="2" t="s">
        <v>79</v>
      </c>
      <c r="Y28" s="2" t="s">
        <v>79</v>
      </c>
      <c r="Z28" s="2" t="s">
        <v>52</v>
      </c>
      <c r="AA28" s="3">
        <v>1</v>
      </c>
      <c r="AB28" s="3">
        <v>0</v>
      </c>
      <c r="AC28" s="3">
        <v>1</v>
      </c>
      <c r="AD28" s="3">
        <v>0</v>
      </c>
      <c r="AE28" s="3" t="s">
        <v>124</v>
      </c>
      <c r="AF28" s="2">
        <v>1</v>
      </c>
      <c r="AG28" s="2">
        <v>0</v>
      </c>
      <c r="AH28" s="2">
        <v>0</v>
      </c>
      <c r="AI28" s="3">
        <v>2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10</v>
      </c>
      <c r="AR28" s="2">
        <v>5</v>
      </c>
      <c r="AS28" s="2"/>
      <c r="AT28" s="2"/>
      <c r="AU28" s="2"/>
      <c r="AV28" s="2"/>
      <c r="AW28" s="2"/>
      <c r="AX28" s="2"/>
    </row>
    <row r="29" spans="1:50" x14ac:dyDescent="0.25">
      <c r="A29" s="2" t="s">
        <v>68</v>
      </c>
      <c r="B29" s="2"/>
      <c r="C29" s="4" t="s">
        <v>148</v>
      </c>
      <c r="D29" s="5" t="s">
        <v>156</v>
      </c>
      <c r="E29" s="2" t="s">
        <v>115</v>
      </c>
      <c r="F29" s="2" t="s">
        <v>79</v>
      </c>
      <c r="G29" s="3">
        <v>2</v>
      </c>
      <c r="H29" s="3" t="s">
        <v>48</v>
      </c>
      <c r="I29" s="3" t="s">
        <v>80</v>
      </c>
      <c r="J29" s="2" t="s">
        <v>84</v>
      </c>
      <c r="K29" s="2" t="str">
        <f>MID(E29,3,2)&amp;"AE00"&amp;RIGHT(E29,2)</f>
        <v>SLAE0015</v>
      </c>
      <c r="L29" s="2"/>
      <c r="M29" s="2"/>
      <c r="N29" s="2" t="s">
        <v>51</v>
      </c>
      <c r="O29" s="2">
        <v>84818090</v>
      </c>
      <c r="P29" s="2">
        <v>5995</v>
      </c>
      <c r="Q29" s="2">
        <v>5995</v>
      </c>
      <c r="R29" s="2">
        <v>11990</v>
      </c>
      <c r="S29" s="2">
        <v>5995</v>
      </c>
      <c r="T29" s="2">
        <v>5995</v>
      </c>
      <c r="U29" s="2">
        <v>5995</v>
      </c>
      <c r="V29" s="2" t="s">
        <v>79</v>
      </c>
      <c r="W29" s="2" t="s">
        <v>79</v>
      </c>
      <c r="X29" s="2" t="s">
        <v>79</v>
      </c>
      <c r="Y29" s="2" t="s">
        <v>79</v>
      </c>
      <c r="Z29" s="2" t="s">
        <v>52</v>
      </c>
      <c r="AA29" s="3">
        <v>1</v>
      </c>
      <c r="AB29" s="3">
        <v>0</v>
      </c>
      <c r="AC29" s="3">
        <v>1</v>
      </c>
      <c r="AD29" s="3">
        <v>0</v>
      </c>
      <c r="AE29" s="3" t="s">
        <v>124</v>
      </c>
      <c r="AF29" s="2">
        <v>1</v>
      </c>
      <c r="AG29" s="2">
        <v>0</v>
      </c>
      <c r="AH29" s="2">
        <v>0</v>
      </c>
      <c r="AI29" s="3">
        <v>2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10</v>
      </c>
      <c r="AR29" s="2">
        <v>5</v>
      </c>
      <c r="AS29" s="2"/>
      <c r="AT29" s="2"/>
      <c r="AU29" s="2"/>
      <c r="AV29" s="2"/>
      <c r="AW29" s="2"/>
      <c r="AX29" s="2"/>
    </row>
    <row r="30" spans="1:50" x14ac:dyDescent="0.25">
      <c r="A30" s="2" t="s">
        <v>68</v>
      </c>
      <c r="B30" s="2"/>
      <c r="C30" s="4" t="s">
        <v>149</v>
      </c>
      <c r="D30" s="2" t="s">
        <v>102</v>
      </c>
      <c r="E30" s="2" t="s">
        <v>116</v>
      </c>
      <c r="F30" s="2" t="s">
        <v>79</v>
      </c>
      <c r="G30" s="3">
        <v>2</v>
      </c>
      <c r="H30" s="3" t="s">
        <v>48</v>
      </c>
      <c r="I30" s="3" t="s">
        <v>80</v>
      </c>
      <c r="J30" s="2" t="s">
        <v>84</v>
      </c>
      <c r="K30" s="2" t="str">
        <f>MID(E30,3,2)&amp;"AE00"&amp;RIGHT(E30,2)</f>
        <v>SLAE0015</v>
      </c>
      <c r="L30" s="2"/>
      <c r="M30" s="2"/>
      <c r="N30" s="2" t="s">
        <v>51</v>
      </c>
      <c r="O30" s="2">
        <v>84818090</v>
      </c>
      <c r="P30" s="2">
        <v>5200</v>
      </c>
      <c r="Q30" s="2">
        <v>5200</v>
      </c>
      <c r="R30" s="2">
        <v>10400</v>
      </c>
      <c r="S30" s="2">
        <v>5200</v>
      </c>
      <c r="T30" s="2">
        <v>5200</v>
      </c>
      <c r="U30" s="2">
        <v>5200</v>
      </c>
      <c r="V30" s="2" t="s">
        <v>79</v>
      </c>
      <c r="W30" s="2" t="s">
        <v>79</v>
      </c>
      <c r="X30" s="2" t="s">
        <v>79</v>
      </c>
      <c r="Y30" s="2" t="s">
        <v>79</v>
      </c>
      <c r="Z30" s="2" t="s">
        <v>52</v>
      </c>
      <c r="AA30" s="3">
        <v>1</v>
      </c>
      <c r="AB30" s="3">
        <v>0</v>
      </c>
      <c r="AC30" s="3">
        <v>1</v>
      </c>
      <c r="AD30" s="3">
        <v>0</v>
      </c>
      <c r="AE30" s="3" t="s">
        <v>124</v>
      </c>
      <c r="AF30" s="2">
        <v>1</v>
      </c>
      <c r="AG30" s="2">
        <v>0</v>
      </c>
      <c r="AH30" s="2">
        <v>0</v>
      </c>
      <c r="AI30" s="3">
        <v>2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10</v>
      </c>
      <c r="AR30" s="2">
        <v>5</v>
      </c>
      <c r="AS30" s="2"/>
      <c r="AT30" s="2"/>
      <c r="AU30" s="2"/>
      <c r="AV30" s="2"/>
      <c r="AW30" s="2"/>
      <c r="AX30" s="2"/>
    </row>
    <row r="31" spans="1:50" x14ac:dyDescent="0.25">
      <c r="A31" s="2"/>
      <c r="B31" s="2"/>
      <c r="C31" s="2"/>
      <c r="D31" s="2"/>
      <c r="E31" s="2"/>
      <c r="F31" s="2"/>
      <c r="G31" s="3"/>
      <c r="H31" s="3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  <c r="AC31" s="3"/>
      <c r="AD31" s="3"/>
      <c r="AE31" s="3"/>
      <c r="AF31" s="2"/>
      <c r="AG31" s="2"/>
      <c r="AH31" s="2"/>
      <c r="AI31" s="3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2"/>
      <c r="B32" s="2"/>
      <c r="C32" s="2"/>
      <c r="D32" s="2"/>
      <c r="E32" s="2"/>
      <c r="F32" s="2"/>
      <c r="G32" s="3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  <c r="AC32" s="3"/>
      <c r="AD32" s="3"/>
      <c r="AE32" s="3"/>
      <c r="AF32" s="2"/>
      <c r="AG32" s="2"/>
      <c r="AH32" s="2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x14ac:dyDescent="0.25">
      <c r="A33" s="2"/>
      <c r="B33" s="2"/>
      <c r="C33" s="2"/>
      <c r="D33" s="2"/>
      <c r="E33" s="2"/>
      <c r="F33" s="2"/>
      <c r="G33" s="3"/>
      <c r="H33" s="3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  <c r="AC33" s="3"/>
      <c r="AD33" s="3"/>
      <c r="AE33" s="3"/>
      <c r="AF33" s="2"/>
      <c r="AG33" s="2"/>
      <c r="AH33" s="2"/>
      <c r="AI33" s="3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x14ac:dyDescent="0.25">
      <c r="A34" s="2"/>
      <c r="B34" s="2"/>
      <c r="C34" s="2"/>
      <c r="D34" s="2"/>
      <c r="E34" s="2"/>
      <c r="F34" s="2"/>
      <c r="G34" s="3"/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  <c r="AC34" s="3"/>
      <c r="AD34" s="3"/>
      <c r="AE34" s="3"/>
      <c r="AF34" s="2"/>
      <c r="AG34" s="2"/>
      <c r="AH34" s="2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x14ac:dyDescent="0.25">
      <c r="A35" s="2"/>
      <c r="B35" s="2"/>
      <c r="C35" s="2"/>
      <c r="D35" s="2"/>
      <c r="E35" s="2"/>
      <c r="F35" s="2"/>
      <c r="G35" s="3"/>
      <c r="H35" s="3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  <c r="AC35" s="3"/>
      <c r="AD35" s="3"/>
      <c r="AE35" s="3"/>
      <c r="AF35" s="2"/>
      <c r="AG35" s="2"/>
      <c r="AH35" s="2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x14ac:dyDescent="0.25">
      <c r="A36" s="2"/>
      <c r="B36" s="2"/>
      <c r="C36" s="2"/>
      <c r="D36" s="2"/>
      <c r="E36" s="2"/>
      <c r="F36" s="2"/>
      <c r="G36" s="3"/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  <c r="AC36" s="3"/>
      <c r="AD36" s="3"/>
      <c r="AE36" s="3"/>
      <c r="AF36" s="2"/>
      <c r="AG36" s="2"/>
      <c r="AH36" s="2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x14ac:dyDescent="0.25">
      <c r="A37" s="2"/>
      <c r="B37" s="2"/>
      <c r="C37" s="2"/>
      <c r="D37" s="2"/>
      <c r="E37" s="2"/>
      <c r="F37" s="2"/>
      <c r="G37" s="3"/>
      <c r="H37" s="3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  <c r="AC37" s="3"/>
      <c r="AD37" s="3"/>
      <c r="AE37" s="3"/>
      <c r="AF37" s="2"/>
      <c r="AG37" s="2"/>
      <c r="AH37" s="2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x14ac:dyDescent="0.25">
      <c r="A38" s="2"/>
      <c r="B38" s="2"/>
      <c r="C38" s="2"/>
      <c r="D38" s="2"/>
      <c r="E38" s="2"/>
      <c r="F38" s="2"/>
      <c r="G38" s="3"/>
      <c r="H38" s="3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  <c r="AC38" s="3"/>
      <c r="AD38" s="3"/>
      <c r="AE38" s="3"/>
      <c r="AF38" s="2"/>
      <c r="AG38" s="2"/>
      <c r="AH38" s="2"/>
      <c r="AI38" s="3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x14ac:dyDescent="0.25">
      <c r="A39" s="2"/>
      <c r="B39" s="2"/>
      <c r="C39" s="2"/>
      <c r="D39" s="2"/>
      <c r="E39" s="2"/>
      <c r="F39" s="2"/>
      <c r="G39" s="3"/>
      <c r="H39" s="3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  <c r="AC39" s="3"/>
      <c r="AD39" s="3"/>
      <c r="AE39" s="3"/>
      <c r="AF39" s="2"/>
      <c r="AG39" s="2"/>
      <c r="AH39" s="2"/>
      <c r="AI39" s="3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x14ac:dyDescent="0.25">
      <c r="A40" s="2"/>
      <c r="B40" s="2"/>
      <c r="C40" s="2"/>
      <c r="D40" s="2"/>
      <c r="E40" s="2"/>
      <c r="F40" s="2"/>
      <c r="G40" s="3"/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  <c r="AC40" s="3"/>
      <c r="AD40" s="3"/>
      <c r="AE40" s="3"/>
      <c r="AF40" s="2"/>
      <c r="AG40" s="2"/>
      <c r="AH40" s="2"/>
      <c r="AI40" s="3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 x14ac:dyDescent="0.25">
      <c r="A41" s="2"/>
      <c r="B41" s="2"/>
      <c r="C41" s="2"/>
      <c r="D41" s="2"/>
      <c r="E41" s="2"/>
      <c r="F41" s="2"/>
      <c r="G41" s="3"/>
      <c r="H41" s="3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  <c r="AB41" s="3"/>
      <c r="AC41" s="3"/>
      <c r="AD41" s="3"/>
      <c r="AE41" s="3"/>
      <c r="AF41" s="2"/>
      <c r="AG41" s="2"/>
      <c r="AH41" s="2"/>
      <c r="AI41" s="3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x14ac:dyDescent="0.25">
      <c r="A42" s="2"/>
      <c r="B42" s="2"/>
      <c r="C42" s="2"/>
      <c r="D42" s="2"/>
      <c r="E42" s="2"/>
      <c r="F42" s="2"/>
      <c r="G42" s="3"/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  <c r="AB42" s="3"/>
      <c r="AC42" s="3"/>
      <c r="AD42" s="3"/>
      <c r="AE42" s="3"/>
      <c r="AF42" s="2"/>
      <c r="AG42" s="2"/>
      <c r="AH42" s="2"/>
      <c r="AI42" s="3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 x14ac:dyDescent="0.25">
      <c r="A43" s="2"/>
      <c r="B43" s="2"/>
      <c r="C43" s="2"/>
      <c r="D43" s="2"/>
      <c r="E43" s="2"/>
      <c r="F43" s="2"/>
      <c r="G43" s="3"/>
      <c r="H43" s="3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  <c r="AC43" s="3"/>
      <c r="AD43" s="3"/>
      <c r="AE43" s="3"/>
      <c r="AF43" s="2"/>
      <c r="AG43" s="2"/>
      <c r="AH43" s="2"/>
      <c r="AI43" s="3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x14ac:dyDescent="0.25">
      <c r="A44" s="2"/>
      <c r="B44" s="2"/>
      <c r="C44" s="2"/>
      <c r="D44" s="2"/>
      <c r="E44" s="2"/>
      <c r="F44" s="2"/>
      <c r="G44" s="3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  <c r="AC44" s="3"/>
      <c r="AD44" s="3"/>
      <c r="AE44" s="3"/>
      <c r="AF44" s="2"/>
      <c r="AG44" s="2"/>
      <c r="AH44" s="2"/>
      <c r="AI44" s="3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x14ac:dyDescent="0.25">
      <c r="A45" s="2"/>
      <c r="B45" s="2"/>
      <c r="C45" s="2"/>
      <c r="D45" s="2"/>
      <c r="E45" s="2"/>
      <c r="F45" s="2"/>
      <c r="G45" s="3"/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  <c r="AC45" s="3"/>
      <c r="AD45" s="3"/>
      <c r="AE45" s="3"/>
      <c r="AF45" s="2"/>
      <c r="AG45" s="2"/>
      <c r="AH45" s="2"/>
      <c r="AI45" s="3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x14ac:dyDescent="0.25">
      <c r="A46" s="2"/>
      <c r="B46" s="2"/>
      <c r="C46" s="2"/>
      <c r="D46" s="2"/>
      <c r="E46" s="2"/>
      <c r="F46" s="2"/>
      <c r="G46" s="3"/>
      <c r="H46" s="3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  <c r="AC46" s="3"/>
      <c r="AD46" s="3"/>
      <c r="AE46" s="3"/>
      <c r="AF46" s="2"/>
      <c r="AG46" s="2"/>
      <c r="AH46" s="2"/>
      <c r="AI46" s="3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x14ac:dyDescent="0.25">
      <c r="A47" s="2"/>
      <c r="B47" s="2"/>
      <c r="C47" s="2"/>
      <c r="D47" s="2"/>
      <c r="E47" s="2"/>
      <c r="F47" s="2"/>
      <c r="G47" s="3"/>
      <c r="H47" s="3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  <c r="AC47" s="3"/>
      <c r="AD47" s="3"/>
      <c r="AE47" s="3"/>
      <c r="AF47" s="2"/>
      <c r="AG47" s="2"/>
      <c r="AH47" s="2"/>
      <c r="AI47" s="3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x14ac:dyDescent="0.25">
      <c r="A48" s="2"/>
      <c r="B48" s="2"/>
      <c r="C48" s="2"/>
      <c r="D48" s="2"/>
      <c r="E48" s="2"/>
      <c r="F48" s="2"/>
      <c r="G48" s="3"/>
      <c r="H48" s="3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  <c r="AC48" s="3"/>
      <c r="AD48" s="3"/>
      <c r="AE48" s="3"/>
      <c r="AF48" s="2"/>
      <c r="AG48" s="2"/>
      <c r="AH48" s="2"/>
      <c r="AI48" s="3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x14ac:dyDescent="0.25">
      <c r="A49" s="2"/>
      <c r="B49" s="2"/>
      <c r="C49" s="2"/>
      <c r="D49" s="2"/>
      <c r="E49" s="2"/>
      <c r="F49" s="2"/>
      <c r="G49" s="3"/>
      <c r="H49" s="3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  <c r="AC49" s="3"/>
      <c r="AD49" s="3"/>
      <c r="AE49" s="3"/>
      <c r="AF49" s="2"/>
      <c r="AG49" s="2"/>
      <c r="AH49" s="2"/>
      <c r="AI49" s="3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x14ac:dyDescent="0.25">
      <c r="A50" s="2"/>
      <c r="B50" s="2"/>
      <c r="C50" s="2"/>
      <c r="D50" s="2"/>
      <c r="E50" s="2"/>
      <c r="F50" s="2"/>
      <c r="G50" s="3"/>
      <c r="H50" s="3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  <c r="AC50" s="3"/>
      <c r="AD50" s="3"/>
      <c r="AE50" s="3"/>
      <c r="AF50" s="2"/>
      <c r="AG50" s="2"/>
      <c r="AH50" s="2"/>
      <c r="AI50" s="3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x14ac:dyDescent="0.25">
      <c r="A51" s="2"/>
      <c r="B51" s="2"/>
      <c r="C51" s="2"/>
      <c r="D51" s="2"/>
      <c r="E51" s="2"/>
      <c r="F51" s="2"/>
      <c r="G51" s="3"/>
      <c r="H51" s="3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  <c r="AC51" s="3"/>
      <c r="AD51" s="3"/>
      <c r="AE51" s="3"/>
      <c r="AF51" s="2"/>
      <c r="AG51" s="2"/>
      <c r="AH51" s="2"/>
      <c r="AI51" s="3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x14ac:dyDescent="0.25">
      <c r="A52" s="2"/>
      <c r="B52" s="2"/>
      <c r="C52" s="2"/>
      <c r="D52" s="2"/>
      <c r="E52" s="2"/>
      <c r="F52" s="2"/>
      <c r="G52" s="3"/>
      <c r="H52" s="3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  <c r="AC52" s="3"/>
      <c r="AD52" s="3"/>
      <c r="AE52" s="3"/>
      <c r="AF52" s="2"/>
      <c r="AG52" s="2"/>
      <c r="AH52" s="2"/>
      <c r="AI52" s="3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x14ac:dyDescent="0.25">
      <c r="A53" s="2"/>
      <c r="B53" s="2"/>
      <c r="C53" s="2"/>
      <c r="D53" s="2"/>
      <c r="E53" s="2"/>
      <c r="F53" s="2"/>
      <c r="G53" s="3"/>
      <c r="H53" s="3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  <c r="AC53" s="3"/>
      <c r="AD53" s="3"/>
      <c r="AE53" s="3"/>
      <c r="AF53" s="2"/>
      <c r="AG53" s="2"/>
      <c r="AH53" s="2"/>
      <c r="AI53" s="3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x14ac:dyDescent="0.25">
      <c r="A54" s="2"/>
      <c r="B54" s="2"/>
      <c r="C54" s="2"/>
      <c r="D54" s="2"/>
      <c r="E54" s="2"/>
      <c r="F54" s="2"/>
      <c r="G54" s="3"/>
      <c r="H54" s="3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  <c r="AC54" s="3"/>
      <c r="AD54" s="3"/>
      <c r="AE54" s="3"/>
      <c r="AF54" s="2"/>
      <c r="AG54" s="2"/>
      <c r="AH54" s="2"/>
      <c r="AI54" s="3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x14ac:dyDescent="0.25">
      <c r="A55" s="2"/>
      <c r="B55" s="2"/>
      <c r="C55" s="2"/>
      <c r="D55" s="2"/>
      <c r="E55" s="2"/>
      <c r="F55" s="2"/>
      <c r="G55" s="3"/>
      <c r="H55" s="3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  <c r="AC55" s="3"/>
      <c r="AD55" s="3"/>
      <c r="AE55" s="3"/>
      <c r="AF55" s="2"/>
      <c r="AG55" s="2"/>
      <c r="AH55" s="2"/>
      <c r="AI55" s="3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x14ac:dyDescent="0.25">
      <c r="A56" s="2"/>
      <c r="B56" s="2"/>
      <c r="C56" s="2"/>
      <c r="D56" s="2"/>
      <c r="E56" s="2"/>
      <c r="F56" s="2"/>
      <c r="G56" s="3"/>
      <c r="H56" s="3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  <c r="AC56" s="3"/>
      <c r="AD56" s="3"/>
      <c r="AE56" s="3"/>
      <c r="AF56" s="2"/>
      <c r="AG56" s="2"/>
      <c r="AH56" s="2"/>
      <c r="AI56" s="3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25">
      <c r="A57" s="2"/>
      <c r="B57" s="2"/>
      <c r="C57" s="2"/>
      <c r="D57" s="2"/>
      <c r="E57" s="2"/>
      <c r="F57" s="2"/>
      <c r="G57" s="3"/>
      <c r="H57" s="3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  <c r="AC57" s="3"/>
      <c r="AD57" s="3"/>
      <c r="AE57" s="3"/>
      <c r="AF57" s="2"/>
      <c r="AG57" s="2"/>
      <c r="AH57" s="2"/>
      <c r="AI57" s="3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x14ac:dyDescent="0.25">
      <c r="A58" s="2"/>
      <c r="B58" s="2"/>
      <c r="C58" s="2"/>
      <c r="D58" s="2"/>
      <c r="E58" s="2"/>
      <c r="F58" s="2"/>
      <c r="G58" s="3"/>
      <c r="H58" s="3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  <c r="AC58" s="3"/>
      <c r="AD58" s="3"/>
      <c r="AE58" s="3"/>
      <c r="AF58" s="2"/>
      <c r="AG58" s="2"/>
      <c r="AH58" s="2"/>
      <c r="AI58" s="3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x14ac:dyDescent="0.25">
      <c r="A59" s="2"/>
      <c r="B59" s="2"/>
      <c r="C59" s="2"/>
      <c r="D59" s="2"/>
      <c r="E59" s="2"/>
      <c r="F59" s="2"/>
      <c r="G59" s="3"/>
      <c r="H59" s="3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  <c r="AC59" s="3"/>
      <c r="AD59" s="3"/>
      <c r="AE59" s="3"/>
      <c r="AF59" s="2"/>
      <c r="AG59" s="2"/>
      <c r="AH59" s="2"/>
      <c r="AI59" s="3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x14ac:dyDescent="0.25">
      <c r="A60" s="2"/>
      <c r="B60" s="2"/>
      <c r="C60" s="2"/>
      <c r="D60" s="2"/>
      <c r="E60" s="2"/>
      <c r="F60" s="2"/>
      <c r="G60" s="3"/>
      <c r="H60" s="3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  <c r="AC60" s="3"/>
      <c r="AD60" s="3"/>
      <c r="AE60" s="3"/>
      <c r="AF60" s="2"/>
      <c r="AG60" s="2"/>
      <c r="AH60" s="2"/>
      <c r="AI60" s="3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25">
      <c r="A61" s="2"/>
      <c r="B61" s="2"/>
      <c r="C61" s="2"/>
      <c r="D61" s="2"/>
      <c r="E61" s="2"/>
      <c r="F61" s="2"/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  <c r="AC61" s="3"/>
      <c r="AD61" s="3"/>
      <c r="AE61" s="3"/>
      <c r="AF61" s="2"/>
      <c r="AG61" s="2"/>
      <c r="AH61" s="2"/>
      <c r="AI61" s="3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25">
      <c r="A62" s="2"/>
      <c r="B62" s="2"/>
      <c r="C62" s="2"/>
      <c r="D62" s="2"/>
      <c r="E62" s="2"/>
      <c r="F62" s="2"/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  <c r="AC62" s="3"/>
      <c r="AD62" s="3"/>
      <c r="AE62" s="3"/>
      <c r="AF62" s="2"/>
      <c r="AG62" s="2"/>
      <c r="AH62" s="2"/>
      <c r="AI62" s="3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x14ac:dyDescent="0.25">
      <c r="A63" s="2"/>
      <c r="B63" s="2"/>
      <c r="C63" s="2"/>
      <c r="D63" s="2"/>
      <c r="E63" s="2"/>
      <c r="F63" s="2"/>
      <c r="G63" s="3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  <c r="AC63" s="3"/>
      <c r="AD63" s="3"/>
      <c r="AE63" s="3"/>
      <c r="AF63" s="2"/>
      <c r="AG63" s="2"/>
      <c r="AH63" s="2"/>
      <c r="AI63" s="3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x14ac:dyDescent="0.25">
      <c r="A64" s="2"/>
      <c r="B64" s="2"/>
      <c r="C64" s="2"/>
      <c r="D64" s="2"/>
      <c r="E64" s="2"/>
      <c r="F64" s="2"/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  <c r="AC64" s="3"/>
      <c r="AD64" s="3"/>
      <c r="AE64" s="3"/>
      <c r="AF64" s="2"/>
      <c r="AG64" s="2"/>
      <c r="AH64" s="2"/>
      <c r="AI64" s="3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x14ac:dyDescent="0.25">
      <c r="A65" s="2"/>
      <c r="B65" s="2"/>
      <c r="C65" s="2"/>
      <c r="D65" s="2"/>
      <c r="E65" s="2"/>
      <c r="F65" s="2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  <c r="AC65" s="3"/>
      <c r="AD65" s="3"/>
      <c r="AE65" s="3"/>
      <c r="AF65" s="2"/>
      <c r="AG65" s="2"/>
      <c r="AH65" s="2"/>
      <c r="AI65" s="3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x14ac:dyDescent="0.25">
      <c r="A66" s="2"/>
      <c r="B66" s="2"/>
      <c r="C66" s="2"/>
      <c r="D66" s="2"/>
      <c r="E66" s="2"/>
      <c r="F66" s="2"/>
      <c r="G66" s="3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  <c r="AC66" s="3"/>
      <c r="AD66" s="3"/>
      <c r="AE66" s="3"/>
      <c r="AF66" s="2"/>
      <c r="AG66" s="2"/>
      <c r="AH66" s="2"/>
      <c r="AI66" s="3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x14ac:dyDescent="0.25">
      <c r="A67" s="2"/>
      <c r="B67" s="2"/>
      <c r="C67" s="2"/>
      <c r="D67" s="2"/>
      <c r="E67" s="2"/>
      <c r="F67" s="2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  <c r="AC67" s="3"/>
      <c r="AD67" s="3"/>
      <c r="AE67" s="3"/>
      <c r="AF67" s="2"/>
      <c r="AG67" s="2"/>
      <c r="AH67" s="2"/>
      <c r="AI67" s="3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x14ac:dyDescent="0.25">
      <c r="A68" s="2"/>
      <c r="B68" s="2"/>
      <c r="C68" s="2"/>
      <c r="D68" s="2"/>
      <c r="E68" s="2"/>
      <c r="F68" s="2"/>
      <c r="G68" s="3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  <c r="AC68" s="3"/>
      <c r="AD68" s="3"/>
      <c r="AE68" s="3"/>
      <c r="AF68" s="2"/>
      <c r="AG68" s="2"/>
      <c r="AH68" s="2"/>
      <c r="AI68" s="3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x14ac:dyDescent="0.25">
      <c r="A69" s="2"/>
      <c r="B69" s="2"/>
      <c r="C69" s="2"/>
      <c r="D69" s="2"/>
      <c r="E69" s="2"/>
      <c r="F69" s="2"/>
      <c r="G69" s="3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  <c r="AC69" s="3"/>
      <c r="AD69" s="3"/>
      <c r="AE69" s="3"/>
      <c r="AF69" s="2"/>
      <c r="AG69" s="2"/>
      <c r="AH69" s="2"/>
      <c r="AI69" s="3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x14ac:dyDescent="0.25">
      <c r="A70" s="2"/>
      <c r="B70" s="2"/>
      <c r="C70" s="2"/>
      <c r="D70" s="2"/>
      <c r="E70" s="2"/>
      <c r="F70" s="2"/>
      <c r="G70" s="3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  <c r="AC70" s="3"/>
      <c r="AD70" s="3"/>
      <c r="AE70" s="3"/>
      <c r="AF70" s="2"/>
      <c r="AG70" s="2"/>
      <c r="AH70" s="2"/>
      <c r="AI70" s="3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x14ac:dyDescent="0.25">
      <c r="A71" s="2"/>
      <c r="B71" s="2"/>
      <c r="C71" s="2"/>
      <c r="D71" s="2"/>
      <c r="E71" s="2"/>
      <c r="F71" s="2"/>
      <c r="G71" s="3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  <c r="AC71" s="3"/>
      <c r="AD71" s="3"/>
      <c r="AE71" s="3"/>
      <c r="AF71" s="2"/>
      <c r="AG71" s="2"/>
      <c r="AH71" s="2"/>
      <c r="AI71" s="3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x14ac:dyDescent="0.25">
      <c r="A72" s="2"/>
      <c r="B72" s="2"/>
      <c r="C72" s="2"/>
      <c r="D72" s="2"/>
      <c r="E72" s="2"/>
      <c r="F72" s="2"/>
      <c r="G72" s="3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  <c r="AC72" s="3"/>
      <c r="AD72" s="3"/>
      <c r="AE72" s="3"/>
      <c r="AF72" s="2"/>
      <c r="AG72" s="2"/>
      <c r="AH72" s="2"/>
      <c r="AI72" s="3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x14ac:dyDescent="0.25">
      <c r="A73" s="2"/>
      <c r="B73" s="2"/>
      <c r="C73" s="2"/>
      <c r="D73" s="2"/>
      <c r="E73" s="2"/>
      <c r="F73" s="2"/>
      <c r="G73" s="3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  <c r="AC73" s="3"/>
      <c r="AD73" s="3"/>
      <c r="AE73" s="3"/>
      <c r="AF73" s="2"/>
      <c r="AG73" s="2"/>
      <c r="AH73" s="2"/>
      <c r="AI73" s="3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x14ac:dyDescent="0.25">
      <c r="A74" s="2"/>
      <c r="B74" s="2"/>
      <c r="C74" s="2"/>
      <c r="D74" s="2"/>
      <c r="E74" s="2"/>
      <c r="F74" s="2"/>
      <c r="G74" s="3"/>
      <c r="H74" s="3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  <c r="AC74" s="3"/>
      <c r="AD74" s="3"/>
      <c r="AE74" s="3"/>
      <c r="AF74" s="2"/>
      <c r="AG74" s="2"/>
      <c r="AH74" s="2"/>
      <c r="AI74" s="3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x14ac:dyDescent="0.25">
      <c r="A75" s="2"/>
      <c r="B75" s="2"/>
      <c r="C75" s="2"/>
      <c r="D75" s="2"/>
      <c r="E75" s="2"/>
      <c r="F75" s="2"/>
      <c r="G75" s="3"/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  <c r="AC75" s="3"/>
      <c r="AD75" s="3"/>
      <c r="AE75" s="3"/>
      <c r="AF75" s="2"/>
      <c r="AG75" s="2"/>
      <c r="AH75" s="2"/>
      <c r="AI75" s="3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x14ac:dyDescent="0.25">
      <c r="A76" s="2"/>
      <c r="B76" s="2"/>
      <c r="C76" s="2"/>
      <c r="D76" s="2"/>
      <c r="E76" s="2"/>
      <c r="F76" s="2"/>
      <c r="G76" s="3"/>
      <c r="H76" s="3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  <c r="AB76" s="3"/>
      <c r="AC76" s="3"/>
      <c r="AD76" s="3"/>
      <c r="AE76" s="3"/>
      <c r="AF76" s="2"/>
      <c r="AG76" s="2"/>
      <c r="AH76" s="2"/>
      <c r="AI76" s="3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</sheetData>
  <conditionalFormatting sqref="K1">
    <cfRule type="duplicateValues" dxfId="0" priority="1"/>
  </conditionalFormatting>
  <hyperlinks>
    <hyperlink ref="C2" r:id="rId1" xr:uid="{E9D8BFC5-B496-4B0C-890B-8A25B0ABCB4D}"/>
    <hyperlink ref="C3" r:id="rId2" xr:uid="{6522260C-8D99-428B-B292-6FE6BF17AD7D}"/>
    <hyperlink ref="C4" r:id="rId3" xr:uid="{9196625B-C036-4F78-AD62-0F154634D879}"/>
    <hyperlink ref="C5" r:id="rId4" xr:uid="{ED2968C8-A920-4279-8947-8262ED63C045}"/>
    <hyperlink ref="C7" r:id="rId5" xr:uid="{14B2842B-10F0-4235-9C2C-B3EC405B84A9}"/>
    <hyperlink ref="C8" r:id="rId6" xr:uid="{909EABAB-2183-4211-AC37-4F5B58176FB3}"/>
    <hyperlink ref="C9" r:id="rId7" xr:uid="{984B5670-C581-4F19-83E1-D707F65E52C6}"/>
    <hyperlink ref="C10" r:id="rId8" xr:uid="{9B3E9980-664C-43CC-82F6-6C44C9979DB5}"/>
    <hyperlink ref="C11" r:id="rId9" xr:uid="{D515B3D9-89D1-4626-980E-B06C46D82CE0}"/>
    <hyperlink ref="C12" r:id="rId10" xr:uid="{04336093-9637-4BF4-BF5B-3ED21D166028}"/>
    <hyperlink ref="C13" r:id="rId11" xr:uid="{78BCC664-B6A8-4119-9067-2C507FCF638D}"/>
    <hyperlink ref="C14" r:id="rId12" xr:uid="{5996CDAD-CD1D-4F32-9771-31A79B3CFA3F}"/>
    <hyperlink ref="C15" r:id="rId13" xr:uid="{371CE98C-70A2-4B3C-94A4-696C5FECD02F}"/>
    <hyperlink ref="C21" r:id="rId14" xr:uid="{EFA0CC52-33ED-4334-B59A-10B546748524}"/>
    <hyperlink ref="C24" r:id="rId15" xr:uid="{AD090FA7-B802-41BB-8BAD-7BA78E5556EF}"/>
    <hyperlink ref="C25" r:id="rId16" xr:uid="{5BA0D826-9251-47EE-8E47-E956CE74E82E}"/>
    <hyperlink ref="C26" r:id="rId17" xr:uid="{9A0C794C-3795-4FE7-A525-FB47FF37FCAE}"/>
    <hyperlink ref="C27" r:id="rId18" xr:uid="{FE298609-269A-46E0-8B9A-8057BC9D9543}"/>
    <hyperlink ref="C28" r:id="rId19" xr:uid="{080477F4-097E-49C9-9DF6-8868D63915C0}"/>
    <hyperlink ref="C29" r:id="rId20" xr:uid="{DCF91F84-1D85-400B-A884-190772F6A417}"/>
    <hyperlink ref="C30" r:id="rId21" xr:uid="{C6758BA0-D2CF-4617-96EF-1FD154DA93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RN VALVES</cp:lastModifiedBy>
  <dcterms:created xsi:type="dcterms:W3CDTF">2025-04-30T07:46:51Z</dcterms:created>
  <dcterms:modified xsi:type="dcterms:W3CDTF">2025-05-01T09:14:32Z</dcterms:modified>
</cp:coreProperties>
</file>